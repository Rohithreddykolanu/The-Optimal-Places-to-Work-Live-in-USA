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30"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Users/rohithreddy/Downloads/"/>
    </mc:Choice>
  </mc:AlternateContent>
  <xr:revisionPtr revIDLastSave="0" documentId="13_ncr:1_{BEB236C2-7DC1-6D4D-BE3A-1DE353792F0D}" xr6:coauthVersionLast="47" xr6:coauthVersionMax="47" xr10:uidLastSave="{00000000-0000-0000-0000-000000000000}"/>
  <bookViews>
    <workbookView showSheetTabs="0" xWindow="0" yWindow="660" windowWidth="30240" windowHeight="18980" xr2:uid="{5CB80781-BAE1-4306-87BE-C169E45ED19B}"/>
  </bookViews>
  <sheets>
    <sheet name="Dashboard" sheetId="1" r:id="rId1"/>
    <sheet name="Information" sheetId="12" r:id="rId2"/>
    <sheet name="Analyse" sheetId="11" r:id="rId3"/>
    <sheet name="Consolidated Data Set" sheetId="2" r:id="rId4"/>
    <sheet name="Data Set 1" sheetId="13" r:id="rId5"/>
    <sheet name="Data Set 2" sheetId="14" r:id="rId6"/>
    <sheet name="Data Set 3" sheetId="16" r:id="rId7"/>
    <sheet name="Data Set 4" sheetId="17" r:id="rId8"/>
    <sheet name="Data Set 5" sheetId="18" r:id="rId9"/>
  </sheets>
  <definedNames>
    <definedName name="_xlnm._FilterDatabase" localSheetId="4" hidden="1">'Data Set 1'!$A$2:$G$2</definedName>
    <definedName name="_xlnm._FilterDatabase" localSheetId="5" hidden="1">'Data Set 2'!$A$2:$F$2</definedName>
    <definedName name="_xlnm._FilterDatabase" localSheetId="6" hidden="1">'Data Set 3'!$A$2:$B$2</definedName>
    <definedName name="_xlnm._FilterDatabase" localSheetId="7" hidden="1">'Data Set 4'!$A$2:$B$3</definedName>
    <definedName name="_xlnm._FilterDatabase" localSheetId="8" hidden="1">'Data Set 5'!$A$2:$C$2</definedName>
    <definedName name="_xlchart.v5.0" hidden="1">Analyse!$A$73</definedName>
    <definedName name="_xlchart.v5.1" hidden="1">Analyse!$A$74:$A$88</definedName>
    <definedName name="_xlchart.v5.2" hidden="1">Analyse!$B$73</definedName>
    <definedName name="_xlchart.v5.3" hidden="1">Analyse!$B$74:$B$88</definedName>
    <definedName name="_xlnm.Print_Area" localSheetId="0">Dashboard!$A$1:$Y$49</definedName>
    <definedName name="Slicer_State">#N/A</definedName>
  </definedNames>
  <calcPr calcId="191029"/>
  <pivotCaches>
    <pivotCache cacheId="7"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8" i="1" l="1"/>
  <c r="F38" i="1"/>
  <c r="I38" i="1"/>
  <c r="G38" i="1"/>
  <c r="E38" i="1"/>
</calcChain>
</file>

<file path=xl/sharedStrings.xml><?xml version="1.0" encoding="utf-8"?>
<sst xmlns="http://schemas.openxmlformats.org/spreadsheetml/2006/main" count="350" uniqueCount="78">
  <si>
    <t>State</t>
  </si>
  <si>
    <t>Utah</t>
  </si>
  <si>
    <t>Population</t>
  </si>
  <si>
    <t>Median Income</t>
  </si>
  <si>
    <t>Job Growth Rate</t>
  </si>
  <si>
    <t>Obesity Rate</t>
  </si>
  <si>
    <t>Poverty Rate</t>
  </si>
  <si>
    <t>Air Quality Index</t>
  </si>
  <si>
    <t>Area (in SQ. MI.)</t>
  </si>
  <si>
    <t>GDP (in Billions)</t>
  </si>
  <si>
    <t>New Hampshire</t>
  </si>
  <si>
    <t>Rankings</t>
  </si>
  <si>
    <t>Capital City</t>
  </si>
  <si>
    <t>Salt Lake City</t>
  </si>
  <si>
    <t>Concord</t>
  </si>
  <si>
    <t>Nebraska</t>
  </si>
  <si>
    <t>Minnesota</t>
  </si>
  <si>
    <t>Idaho</t>
  </si>
  <si>
    <t>Iowa</t>
  </si>
  <si>
    <t>Vermont</t>
  </si>
  <si>
    <t>Washington</t>
  </si>
  <si>
    <t>Florida</t>
  </si>
  <si>
    <t>Massachusetts</t>
  </si>
  <si>
    <t>South Dakota</t>
  </si>
  <si>
    <t>Wyoming</t>
  </si>
  <si>
    <t>Virginia</t>
  </si>
  <si>
    <t>New Jersey</t>
  </si>
  <si>
    <t>North Dakota</t>
  </si>
  <si>
    <t>Lincoln</t>
  </si>
  <si>
    <t>St. Paul</t>
  </si>
  <si>
    <t>Boise</t>
  </si>
  <si>
    <t>Des Moines</t>
  </si>
  <si>
    <t>Montpelier</t>
  </si>
  <si>
    <t>Olympia</t>
  </si>
  <si>
    <t>Tallahassee</t>
  </si>
  <si>
    <t>Boston</t>
  </si>
  <si>
    <t xml:space="preserve">	33.5</t>
  </si>
  <si>
    <t>Net Migration Rate</t>
  </si>
  <si>
    <t xml:space="preserve">	45.0</t>
  </si>
  <si>
    <t>Pierre</t>
  </si>
  <si>
    <t>Cheyenne</t>
  </si>
  <si>
    <t>Richmond</t>
  </si>
  <si>
    <t>Trenton</t>
  </si>
  <si>
    <t>Bismarck</t>
  </si>
  <si>
    <t>Average Cost of Living Index</t>
  </si>
  <si>
    <t>Average Internet Speed (in MBPS)</t>
  </si>
  <si>
    <t>Crime Rate</t>
  </si>
  <si>
    <t>Graduation Rate</t>
  </si>
  <si>
    <t>Total GDP (in Billions)</t>
  </si>
  <si>
    <t>Total Population</t>
  </si>
  <si>
    <t>Average Income</t>
  </si>
  <si>
    <t>Average Job Growth Rate</t>
  </si>
  <si>
    <t>Average Migration Rate</t>
  </si>
  <si>
    <t># Rankings</t>
  </si>
  <si>
    <t>Total Area (in SQ. MI.)</t>
  </si>
  <si>
    <t xml:space="preserve">Poverty Rate </t>
  </si>
  <si>
    <t xml:space="preserve">Crime Rate </t>
  </si>
  <si>
    <t xml:space="preserve">Obesity Rate </t>
  </si>
  <si>
    <t xml:space="preserve">Average Cost of Living Index </t>
  </si>
  <si>
    <t xml:space="preserve">Graduation Rate </t>
  </si>
  <si>
    <t xml:space="preserve">Average Internet Speed (in MBPS) </t>
  </si>
  <si>
    <t xml:space="preserve">Air Quality Index </t>
  </si>
  <si>
    <t>US News</t>
  </si>
  <si>
    <t>https://www.usnews.com/news/best-states/rankings</t>
  </si>
  <si>
    <t>World Population Review</t>
  </si>
  <si>
    <t>https://worldpopulationreview.com/state-rankings/air-quality-by-state</t>
  </si>
  <si>
    <t>https://worldpopulationreview.com/state-rankings/crime-rate-by-state</t>
  </si>
  <si>
    <t>Insure</t>
  </si>
  <si>
    <t>https://www.insure.com/cost-of-living-by-state.html</t>
  </si>
  <si>
    <t>Bibliography</t>
  </si>
  <si>
    <t>State Rankings</t>
  </si>
  <si>
    <t>1. US News</t>
  </si>
  <si>
    <t>2. World Population Review</t>
  </si>
  <si>
    <t>3. Insure</t>
  </si>
  <si>
    <t>URL:</t>
  </si>
  <si>
    <r>
      <t>Data Type</t>
    </r>
    <r>
      <rPr>
        <sz val="16"/>
        <color rgb="FF2C3E50"/>
        <rFont val="Aptos Display"/>
        <family val="2"/>
        <scheme val="major"/>
      </rPr>
      <t>:</t>
    </r>
  </si>
  <si>
    <r>
      <t>URL</t>
    </r>
    <r>
      <rPr>
        <sz val="16"/>
        <color rgb="FF2C3E50"/>
        <rFont val="Aptos Display"/>
        <family val="2"/>
        <scheme val="major"/>
      </rPr>
      <t>:</t>
    </r>
  </si>
  <si>
    <t>Average Air Quality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</si>
</sst>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
    <numFmt numFmtId="165" formatCode="0.000"/>
    <numFmt numFmtId="166" formatCode="0.0"/>
    <numFmt numFmtId="167" formatCode="&quot;$&quot;#,##0.00"/>
  </numFmts>
  <fonts count="17" x14ac:knownFonts="1">
    <font>
      <sz val="11"/>
      <color theme="1"/>
      <name val="Aptos Narrow"/>
      <family val="2"/>
      <scheme val="minor"/>
    </font>
    <font>
      <b/>
      <sz val="11"/>
      <color theme="1"/>
      <name val="Aptos Narrow"/>
      <family val="2"/>
      <scheme val="minor"/>
    </font>
    <font>
      <sz val="8"/>
      <name val="Aptos Narrow"/>
      <family val="2"/>
      <scheme val="minor"/>
    </font>
    <font>
      <b/>
      <sz val="11"/>
      <color theme="0"/>
      <name val="Aptos Narrow"/>
      <family val="2"/>
      <scheme val="minor"/>
    </font>
    <font>
      <u/>
      <sz val="11"/>
      <color theme="10"/>
      <name val="Aptos Narrow"/>
      <family val="2"/>
      <scheme val="minor"/>
    </font>
    <font>
      <sz val="16"/>
      <color theme="1"/>
      <name val="Aptos Narrow"/>
      <family val="2"/>
      <scheme val="minor"/>
    </font>
    <font>
      <b/>
      <sz val="16"/>
      <color rgb="FF2C3E50"/>
      <name val="Aptos Display"/>
      <family val="2"/>
      <scheme val="major"/>
    </font>
    <font>
      <sz val="16"/>
      <color rgb="FF2C3E50"/>
      <name val="Aptos Display"/>
      <family val="2"/>
      <scheme val="major"/>
    </font>
    <font>
      <u/>
      <sz val="16"/>
      <color theme="3" tint="0.249977111117893"/>
      <name val="Aptos Display"/>
      <family val="2"/>
      <scheme val="major"/>
    </font>
    <font>
      <sz val="16"/>
      <color rgb="FF2C3E50"/>
      <name val="Aptos Narrow"/>
      <family val="2"/>
      <scheme val="minor"/>
    </font>
    <font>
      <u/>
      <sz val="16"/>
      <color theme="3" tint="0.249977111117893"/>
      <name val="Aptos Narrow"/>
      <family val="2"/>
      <scheme val="minor"/>
    </font>
    <font>
      <sz val="16"/>
      <color theme="3" tint="0.249977111117893"/>
      <name val="Aptos Narrow"/>
      <family val="2"/>
      <scheme val="minor"/>
    </font>
    <font>
      <sz val="11"/>
      <color theme="1"/>
      <name val="Calibri"/>
      <family val="2"/>
    </font>
    <font>
      <b/>
      <sz val="11"/>
      <color theme="1"/>
      <name val="Calibri"/>
      <family val="2"/>
    </font>
    <font>
      <b/>
      <sz val="11"/>
      <color rgb="FF2C3E50"/>
      <name val="Calibri"/>
      <family val="2"/>
    </font>
    <font>
      <b/>
      <sz val="12"/>
      <color rgb="FFECF0F1"/>
      <name val="Calibri"/>
      <family val="2"/>
    </font>
    <font>
      <b/>
      <sz val="16"/>
      <color rgb="FFECF0F1"/>
      <name val="Calibri"/>
      <family val="2"/>
    </font>
  </fonts>
  <fills count="7">
    <fill>
      <patternFill patternType="none"/>
    </fill>
    <fill>
      <patternFill patternType="gray125"/>
    </fill>
    <fill>
      <patternFill patternType="solid">
        <fgColor rgb="FFECF0F1"/>
        <bgColor indexed="64"/>
      </patternFill>
    </fill>
    <fill>
      <patternFill patternType="solid">
        <fgColor theme="1"/>
        <bgColor theme="1"/>
      </patternFill>
    </fill>
    <fill>
      <patternFill patternType="solid">
        <fgColor theme="0" tint="-0.34998626667073579"/>
        <bgColor theme="0" tint="-0.34998626667073579"/>
      </patternFill>
    </fill>
    <fill>
      <patternFill patternType="solid">
        <fgColor theme="0" tint="-0.14999847407452621"/>
        <bgColor theme="0" tint="-0.14999847407452621"/>
      </patternFill>
    </fill>
    <fill>
      <patternFill patternType="solid">
        <fgColor rgb="FF2C3E50"/>
        <bgColor indexed="64"/>
      </patternFill>
    </fill>
  </fills>
  <borders count="11">
    <border>
      <left/>
      <right/>
      <top/>
      <bottom/>
      <diagonal/>
    </border>
    <border>
      <left/>
      <right style="thin">
        <color theme="0"/>
      </right>
      <top/>
      <bottom style="thick">
        <color theme="0"/>
      </bottom>
      <diagonal/>
    </border>
    <border>
      <left style="thin">
        <color theme="0"/>
      </left>
      <right style="thin">
        <color theme="0"/>
      </right>
      <top/>
      <bottom style="thick">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0"/>
      </left>
      <right/>
      <top style="thin">
        <color theme="0"/>
      </top>
      <bottom/>
      <diagonal/>
    </border>
    <border>
      <left style="dotted">
        <color theme="0"/>
      </left>
      <right style="dotted">
        <color theme="0"/>
      </right>
      <top style="dotted">
        <color theme="0"/>
      </top>
      <bottom style="dotted">
        <color theme="0"/>
      </bottom>
      <diagonal/>
    </border>
  </borders>
  <cellStyleXfs count="2">
    <xf numFmtId="0" fontId="0" fillId="0" borderId="0"/>
    <xf numFmtId="0" fontId="4" fillId="0" borderId="0" applyNumberFormat="0" applyFill="0" applyBorder="0" applyAlignment="0" applyProtection="0"/>
  </cellStyleXfs>
  <cellXfs count="71">
    <xf numFmtId="0" fontId="0" fillId="0" borderId="0" xfId="0"/>
    <xf numFmtId="10" fontId="0" fillId="0" borderId="0" xfId="0" applyNumberFormat="1"/>
    <xf numFmtId="0" fontId="0" fillId="0" borderId="0" xfId="0" applyAlignment="1">
      <alignment horizontal="center" vertical="center"/>
    </xf>
    <xf numFmtId="1" fontId="0" fillId="0" borderId="0" xfId="0" applyNumberFormat="1" applyAlignment="1">
      <alignment horizontal="center" vertical="center"/>
    </xf>
    <xf numFmtId="164" fontId="0" fillId="0" borderId="0" xfId="0" applyNumberFormat="1" applyAlignment="1">
      <alignment horizontal="center" vertical="center"/>
    </xf>
    <xf numFmtId="10" fontId="0" fillId="0" borderId="0" xfId="0" applyNumberFormat="1" applyAlignment="1">
      <alignment horizontal="center" vertical="center"/>
    </xf>
    <xf numFmtId="165" fontId="0" fillId="0" borderId="0" xfId="0" applyNumberFormat="1" applyAlignment="1">
      <alignment horizontal="center" vertical="center"/>
    </xf>
    <xf numFmtId="166" fontId="0" fillId="0" borderId="0" xfId="0" applyNumberFormat="1" applyAlignment="1">
      <alignment horizontal="center" vertical="center"/>
    </xf>
    <xf numFmtId="0" fontId="1" fillId="0" borderId="0" xfId="0" applyFont="1" applyAlignment="1">
      <alignment horizontal="center" vertical="center"/>
    </xf>
    <xf numFmtId="167" fontId="0" fillId="0" borderId="0" xfId="0" applyNumberFormat="1" applyAlignment="1">
      <alignment horizontal="center" vertical="center"/>
    </xf>
    <xf numFmtId="0" fontId="3" fillId="3" borderId="2" xfId="0" applyFont="1" applyFill="1" applyBorder="1" applyAlignment="1">
      <alignment horizontal="center" vertical="center"/>
    </xf>
    <xf numFmtId="0" fontId="0" fillId="4" borderId="4" xfId="0" applyFill="1" applyBorder="1" applyAlignment="1">
      <alignment horizontal="center" vertical="center"/>
    </xf>
    <xf numFmtId="0" fontId="0" fillId="5" borderId="4" xfId="0" applyFill="1" applyBorder="1" applyAlignment="1">
      <alignment horizontal="center" vertical="center"/>
    </xf>
    <xf numFmtId="0" fontId="0" fillId="4" borderId="6" xfId="0" applyFill="1" applyBorder="1" applyAlignment="1">
      <alignment horizontal="center" vertical="center"/>
    </xf>
    <xf numFmtId="0" fontId="3" fillId="3" borderId="1" xfId="0" applyFont="1" applyFill="1" applyBorder="1" applyAlignment="1">
      <alignment horizontal="center" vertical="center"/>
    </xf>
    <xf numFmtId="1" fontId="0" fillId="4" borderId="3" xfId="0" applyNumberFormat="1" applyFill="1" applyBorder="1" applyAlignment="1">
      <alignment horizontal="center" vertical="center"/>
    </xf>
    <xf numFmtId="1" fontId="0" fillId="5" borderId="3" xfId="0" applyNumberFormat="1" applyFill="1" applyBorder="1" applyAlignment="1">
      <alignment horizontal="center" vertical="center"/>
    </xf>
    <xf numFmtId="1" fontId="0" fillId="4" borderId="5" xfId="0" applyNumberFormat="1" applyFill="1" applyBorder="1" applyAlignment="1">
      <alignment horizontal="center" vertical="center"/>
    </xf>
    <xf numFmtId="1" fontId="0" fillId="4" borderId="4" xfId="0" applyNumberFormat="1" applyFill="1" applyBorder="1" applyAlignment="1">
      <alignment horizontal="center" vertical="center"/>
    </xf>
    <xf numFmtId="1" fontId="0" fillId="5" borderId="4" xfId="0" applyNumberFormat="1" applyFill="1" applyBorder="1" applyAlignment="1">
      <alignment horizontal="center" vertical="center"/>
    </xf>
    <xf numFmtId="1" fontId="0" fillId="4" borderId="6" xfId="0" applyNumberFormat="1" applyFill="1" applyBorder="1" applyAlignment="1">
      <alignment horizontal="center" vertical="center"/>
    </xf>
    <xf numFmtId="167" fontId="0" fillId="4" borderId="4" xfId="0" applyNumberFormat="1" applyFill="1" applyBorder="1" applyAlignment="1">
      <alignment horizontal="center" vertical="center"/>
    </xf>
    <xf numFmtId="167" fontId="0" fillId="5" borderId="4" xfId="0" applyNumberFormat="1" applyFill="1" applyBorder="1" applyAlignment="1">
      <alignment horizontal="center" vertical="center"/>
    </xf>
    <xf numFmtId="167" fontId="0" fillId="4" borderId="6" xfId="0" applyNumberFormat="1" applyFill="1" applyBorder="1" applyAlignment="1">
      <alignment horizontal="center" vertical="center"/>
    </xf>
    <xf numFmtId="10" fontId="0" fillId="4" borderId="4" xfId="0" applyNumberFormat="1" applyFill="1" applyBorder="1" applyAlignment="1">
      <alignment horizontal="center" vertical="center"/>
    </xf>
    <xf numFmtId="10" fontId="0" fillId="5" borderId="4" xfId="0" applyNumberFormat="1" applyFill="1" applyBorder="1" applyAlignment="1">
      <alignment horizontal="center" vertical="center"/>
    </xf>
    <xf numFmtId="10" fontId="0" fillId="4" borderId="6" xfId="0" applyNumberFormat="1" applyFill="1" applyBorder="1" applyAlignment="1">
      <alignment horizontal="center" vertical="center"/>
    </xf>
    <xf numFmtId="164" fontId="0" fillId="4" borderId="4" xfId="0" applyNumberFormat="1" applyFill="1" applyBorder="1" applyAlignment="1">
      <alignment horizontal="center" vertical="center"/>
    </xf>
    <xf numFmtId="165" fontId="0" fillId="4" borderId="4" xfId="0" applyNumberFormat="1" applyFill="1" applyBorder="1" applyAlignment="1">
      <alignment horizontal="center" vertical="center"/>
    </xf>
    <xf numFmtId="164" fontId="0" fillId="5" borderId="4" xfId="0" applyNumberFormat="1" applyFill="1" applyBorder="1" applyAlignment="1">
      <alignment horizontal="center" vertical="center"/>
    </xf>
    <xf numFmtId="165" fontId="0" fillId="5" borderId="4" xfId="0" applyNumberFormat="1" applyFill="1" applyBorder="1" applyAlignment="1">
      <alignment horizontal="center" vertical="center"/>
    </xf>
    <xf numFmtId="164" fontId="0" fillId="4" borderId="6" xfId="0" applyNumberFormat="1" applyFill="1" applyBorder="1" applyAlignment="1">
      <alignment horizontal="center" vertical="center"/>
    </xf>
    <xf numFmtId="165" fontId="0" fillId="4" borderId="6" xfId="0" applyNumberFormat="1" applyFill="1" applyBorder="1" applyAlignment="1">
      <alignment horizontal="center" vertical="center"/>
    </xf>
    <xf numFmtId="166" fontId="0" fillId="4" borderId="4" xfId="0" applyNumberFormat="1" applyFill="1" applyBorder="1" applyAlignment="1">
      <alignment horizontal="center" vertical="center"/>
    </xf>
    <xf numFmtId="166" fontId="0" fillId="5" borderId="4" xfId="0" applyNumberFormat="1" applyFill="1" applyBorder="1" applyAlignment="1">
      <alignment horizontal="center" vertical="center"/>
    </xf>
    <xf numFmtId="166" fontId="0" fillId="4" borderId="6" xfId="0" applyNumberFormat="1" applyFill="1" applyBorder="1" applyAlignment="1">
      <alignment horizontal="center" vertical="center"/>
    </xf>
    <xf numFmtId="0" fontId="3" fillId="3" borderId="7" xfId="0" applyFont="1" applyFill="1" applyBorder="1" applyAlignment="1">
      <alignment horizontal="center" vertical="center"/>
    </xf>
    <xf numFmtId="0" fontId="4" fillId="0" borderId="0" xfId="1"/>
    <xf numFmtId="10" fontId="0" fillId="4" borderId="8" xfId="0" applyNumberFormat="1" applyFill="1" applyBorder="1" applyAlignment="1">
      <alignment horizontal="center" vertical="center"/>
    </xf>
    <xf numFmtId="10" fontId="0" fillId="5" borderId="8" xfId="0" applyNumberFormat="1" applyFill="1" applyBorder="1" applyAlignment="1">
      <alignment horizontal="center" vertical="center"/>
    </xf>
    <xf numFmtId="10" fontId="0" fillId="4" borderId="9" xfId="0" applyNumberFormat="1" applyFill="1" applyBorder="1" applyAlignment="1">
      <alignment horizontal="center" vertical="center"/>
    </xf>
    <xf numFmtId="0" fontId="0" fillId="0" borderId="0" xfId="0" pivotButton="1" applyAlignment="1">
      <alignment horizontal="center" vertical="center"/>
    </xf>
    <xf numFmtId="0" fontId="5" fillId="0" borderId="0" xfId="0" applyFont="1"/>
    <xf numFmtId="0" fontId="6" fillId="2" borderId="0" xfId="0" applyFont="1" applyFill="1"/>
    <xf numFmtId="0" fontId="7" fillId="2" borderId="0" xfId="0" applyFont="1" applyFill="1"/>
    <xf numFmtId="0" fontId="8" fillId="2" borderId="0" xfId="1" applyFont="1" applyFill="1"/>
    <xf numFmtId="0" fontId="9" fillId="2" borderId="0" xfId="0" applyFont="1" applyFill="1"/>
    <xf numFmtId="0" fontId="10" fillId="2" borderId="0" xfId="1" applyFont="1" applyFill="1"/>
    <xf numFmtId="0" fontId="11" fillId="2" borderId="0" xfId="0" applyFont="1" applyFill="1"/>
    <xf numFmtId="0" fontId="5" fillId="2" borderId="0" xfId="0" applyFont="1" applyFill="1"/>
    <xf numFmtId="0" fontId="12" fillId="0" borderId="0" xfId="0" applyFont="1"/>
    <xf numFmtId="0" fontId="13" fillId="2" borderId="10" xfId="0" applyFont="1" applyFill="1" applyBorder="1" applyAlignment="1">
      <alignment horizontal="left" vertical="center"/>
    </xf>
    <xf numFmtId="0" fontId="14" fillId="2" borderId="10" xfId="0" applyFont="1" applyFill="1" applyBorder="1" applyAlignment="1">
      <alignment horizontal="left" vertical="center"/>
    </xf>
    <xf numFmtId="167" fontId="14" fillId="2" borderId="10" xfId="0" applyNumberFormat="1" applyFont="1" applyFill="1" applyBorder="1" applyAlignment="1">
      <alignment horizontal="center" vertical="center"/>
    </xf>
    <xf numFmtId="4" fontId="14" fillId="2" borderId="10" xfId="0" applyNumberFormat="1" applyFont="1" applyFill="1" applyBorder="1" applyAlignment="1">
      <alignment horizontal="center" vertical="center"/>
    </xf>
    <xf numFmtId="164" fontId="14" fillId="2" borderId="10" xfId="0" applyNumberFormat="1" applyFont="1" applyFill="1" applyBorder="1" applyAlignment="1">
      <alignment horizontal="center" vertical="center"/>
    </xf>
    <xf numFmtId="10" fontId="14" fillId="2" borderId="10" xfId="0" applyNumberFormat="1" applyFont="1" applyFill="1" applyBorder="1" applyAlignment="1">
      <alignment horizontal="center" vertical="center"/>
    </xf>
    <xf numFmtId="0" fontId="9" fillId="6" borderId="0" xfId="0" applyFont="1" applyFill="1"/>
    <xf numFmtId="0" fontId="11" fillId="6" borderId="0" xfId="0" applyFont="1" applyFill="1"/>
    <xf numFmtId="0" fontId="5" fillId="6" borderId="0" xfId="0" applyFont="1" applyFill="1"/>
    <xf numFmtId="0" fontId="12" fillId="2" borderId="0" xfId="0" applyFont="1" applyFill="1"/>
    <xf numFmtId="0" fontId="12" fillId="2" borderId="10" xfId="0" applyFont="1" applyFill="1" applyBorder="1"/>
    <xf numFmtId="164" fontId="12" fillId="2" borderId="0" xfId="0" applyNumberFormat="1" applyFont="1" applyFill="1"/>
    <xf numFmtId="0" fontId="15" fillId="2" borderId="0" xfId="0" applyFont="1" applyFill="1" applyAlignment="1">
      <alignment vertical="center"/>
    </xf>
    <xf numFmtId="0" fontId="15" fillId="6" borderId="10" xfId="0" applyFont="1" applyFill="1" applyBorder="1" applyAlignment="1">
      <alignment horizontal="center" vertical="center"/>
    </xf>
    <xf numFmtId="0" fontId="15" fillId="6" borderId="10" xfId="0" applyFont="1" applyFill="1" applyBorder="1" applyAlignment="1">
      <alignment horizontal="center" textRotation="45"/>
    </xf>
    <xf numFmtId="166" fontId="16" fillId="6" borderId="10" xfId="0" applyNumberFormat="1" applyFont="1" applyFill="1" applyBorder="1" applyAlignment="1">
      <alignment horizontal="center"/>
    </xf>
    <xf numFmtId="1" fontId="16" fillId="6" borderId="10" xfId="0" applyNumberFormat="1" applyFont="1" applyFill="1" applyBorder="1" applyAlignment="1">
      <alignment horizontal="center"/>
    </xf>
    <xf numFmtId="165" fontId="16" fillId="6" borderId="10" xfId="0" applyNumberFormat="1" applyFont="1" applyFill="1" applyBorder="1" applyAlignment="1">
      <alignment horizontal="center"/>
    </xf>
    <xf numFmtId="10" fontId="16" fillId="6" borderId="10" xfId="0" applyNumberFormat="1" applyFont="1" applyFill="1" applyBorder="1" applyAlignment="1">
      <alignment horizontal="center"/>
    </xf>
    <xf numFmtId="0" fontId="16" fillId="6" borderId="10" xfId="0" applyFont="1" applyFill="1" applyBorder="1" applyAlignment="1">
      <alignment horizontal="center"/>
    </xf>
  </cellXfs>
  <cellStyles count="2">
    <cellStyle name="Hyperlink" xfId="1" builtinId="8"/>
    <cellStyle name="Normal" xfId="0" builtinId="0"/>
  </cellStyles>
  <dxfs count="238">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numFmt numFmtId="14" formatCode="0.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65" formatCode="0.000"/>
      <alignment horizontal="center" vertical="center" textRotation="0" wrapText="0" indent="0" justifyLastLine="0" shrinkToFit="0" readingOrder="0"/>
    </dxf>
    <dxf>
      <numFmt numFmtId="165" formatCode="0.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64" formatCode="&quot;$&quot;#,##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ill>
        <patternFill>
          <bgColor rgb="FFECF0F1"/>
        </patternFill>
      </fill>
    </dxf>
    <dxf>
      <fill>
        <patternFill>
          <bgColor rgb="FFECF0F1"/>
        </patternFill>
      </fill>
    </dxf>
    <dxf>
      <fill>
        <patternFill>
          <bgColor rgb="FFECF0F1"/>
        </patternFill>
      </fill>
    </dxf>
    <dxf>
      <fill>
        <patternFill>
          <bgColor rgb="FFECF0F1"/>
        </patternFill>
      </fill>
    </dxf>
    <dxf>
      <fill>
        <patternFill>
          <bgColor rgb="FFECF0F1"/>
        </patternFill>
      </fill>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font>
        <name val="Calibri"/>
        <family val="2"/>
      </font>
    </dxf>
    <dxf>
      <font>
        <name val="Calibri"/>
        <family val="2"/>
      </font>
    </dxf>
    <dxf>
      <font>
        <name val="Calibri"/>
        <family val="2"/>
      </font>
    </dxf>
    <dxf>
      <font>
        <name val="Calibri"/>
        <family val="2"/>
      </font>
    </dxf>
    <dxf>
      <font>
        <name val="Calibri"/>
        <family val="2"/>
      </font>
    </dxf>
    <dxf>
      <font>
        <b/>
      </font>
    </dxf>
    <dxf>
      <font>
        <b/>
      </font>
    </dxf>
    <dxf>
      <font>
        <color rgb="FF2C3E50"/>
      </font>
    </dxf>
    <dxf>
      <font>
        <color rgb="FF2C3E50"/>
      </font>
    </dxf>
    <dxf>
      <font>
        <color theme="1"/>
      </font>
    </dxf>
    <dxf>
      <font>
        <color theme="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4" formatCode="#,##0.00"/>
    </dxf>
    <dxf>
      <font>
        <color rgb="FF2C3E50"/>
      </font>
    </dxf>
    <dxf>
      <font>
        <color rgb="FF2C3E50"/>
      </font>
    </dxf>
    <dxf>
      <font>
        <b/>
      </font>
    </dxf>
    <dxf>
      <font>
        <b/>
      </fon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center"/>
    </dxf>
    <dxf>
      <alignment horizontal="center"/>
    </dxf>
    <dxf>
      <fill>
        <gradientFill degree="180">
          <stop position="0">
            <color theme="0"/>
          </stop>
          <stop position="1">
            <color theme="4"/>
          </stop>
        </gradientFill>
      </fill>
    </dxf>
    <dxf>
      <fill>
        <gradientFill>
          <stop position="0">
            <color theme="0"/>
          </stop>
          <stop position="1">
            <color theme="4"/>
          </stop>
        </gradientFill>
      </fill>
    </dxf>
    <dxf>
      <fill>
        <patternFill>
          <bgColor rgb="FF2C3E50"/>
        </patternFill>
      </fill>
    </dxf>
    <dxf>
      <fill>
        <gradientFill>
          <stop position="0">
            <color theme="0"/>
          </stop>
          <stop position="1">
            <color theme="4"/>
          </stop>
        </gradientFill>
      </fill>
    </dxf>
  </dxfs>
  <tableStyles count="4" defaultTableStyle="TableStyleMedium2" defaultPivotStyle="PivotStyleLight16">
    <tableStyle name="PivotTable Style 1" table="0" count="1" xr9:uid="{6B2A21D1-B562-470D-9201-6EC268CE6382}">
      <tableStyleElement type="wholeTable" dxfId="237"/>
    </tableStyle>
    <tableStyle name="Slicer Style 1" pivot="0" table="0" count="1" xr9:uid="{30224EE3-70B6-4B6B-B9A4-90A44675351A}">
      <tableStyleElement type="wholeTable" dxfId="236"/>
    </tableStyle>
    <tableStyle name="Slicer Style 2" pivot="0" table="0" count="1" xr9:uid="{E3441EFD-C9D6-40FB-A6EA-602CA248DB70}">
      <tableStyleElement type="wholeTable" dxfId="235"/>
    </tableStyle>
    <tableStyle name="Slicer Style 3" pivot="0" table="0" count="1" xr9:uid="{CEA86265-075C-4FF4-9853-1A854FC21220}">
      <tableStyleElement type="wholeTable" dxfId="234"/>
    </tableStyle>
  </tableStyles>
  <colors>
    <mruColors>
      <color rgb="FFECF0F1"/>
      <color rgb="FF2C3E50"/>
      <color rgb="FFE74C3C"/>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Dashboard.xlsm]Analyse!PivotTable3</c:name>
    <c:fmtId val="46"/>
  </c:pivotSource>
  <c:chart>
    <c:title>
      <c:tx>
        <c:rich>
          <a:bodyPr rot="0" spcFirstLastPara="1" vertOverflow="ellipsis" vert="horz" wrap="square" anchor="ctr" anchorCtr="1"/>
          <a:lstStyle/>
          <a:p>
            <a:pPr>
              <a:defRPr sz="1600" b="1" i="0" u="none" strike="noStrike" kern="1200" baseline="0">
                <a:solidFill>
                  <a:srgbClr val="2C3E50"/>
                </a:solidFill>
                <a:latin typeface="+mn-lt"/>
                <a:ea typeface="+mn-ea"/>
                <a:cs typeface="+mn-cs"/>
              </a:defRPr>
            </a:pPr>
            <a:r>
              <a:rPr lang="en-US">
                <a:solidFill>
                  <a:srgbClr val="2C3E50"/>
                </a:solidFill>
              </a:rPr>
              <a:t>Area (in SQ. MI.)</a:t>
            </a:r>
          </a:p>
        </c:rich>
      </c:tx>
      <c:overlay val="0"/>
      <c:spPr>
        <a:noFill/>
        <a:ln>
          <a:noFill/>
        </a:ln>
        <a:effectLst/>
      </c:spPr>
      <c:txPr>
        <a:bodyPr rot="0" spcFirstLastPara="1" vertOverflow="ellipsis" vert="horz" wrap="square" anchor="ctr" anchorCtr="1"/>
        <a:lstStyle/>
        <a:p>
          <a:pPr>
            <a:defRPr sz="1600" b="1" i="0" u="none" strike="noStrike" kern="1200" baseline="0">
              <a:solidFill>
                <a:srgbClr val="2C3E50"/>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Analyse!$B$5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Analyse!$A$6:$A$20</c:f>
              <c:strCache>
                <c:ptCount val="15"/>
                <c:pt idx="0">
                  <c:v>Florida</c:v>
                </c:pt>
                <c:pt idx="1">
                  <c:v>Idaho</c:v>
                </c:pt>
                <c:pt idx="2">
                  <c:v>Iowa</c:v>
                </c:pt>
                <c:pt idx="3">
                  <c:v>Massachusetts</c:v>
                </c:pt>
                <c:pt idx="4">
                  <c:v>Minnesota</c:v>
                </c:pt>
                <c:pt idx="5">
                  <c:v>Nebraska</c:v>
                </c:pt>
                <c:pt idx="6">
                  <c:v>New Hampshire</c:v>
                </c:pt>
                <c:pt idx="7">
                  <c:v>New Jersey</c:v>
                </c:pt>
                <c:pt idx="8">
                  <c:v>North Dakota</c:v>
                </c:pt>
                <c:pt idx="9">
                  <c:v>South Dakota</c:v>
                </c:pt>
                <c:pt idx="10">
                  <c:v>Utah</c:v>
                </c:pt>
                <c:pt idx="11">
                  <c:v>Vermont</c:v>
                </c:pt>
                <c:pt idx="12">
                  <c:v>Virginia</c:v>
                </c:pt>
                <c:pt idx="13">
                  <c:v>Washington</c:v>
                </c:pt>
                <c:pt idx="14">
                  <c:v>Wyoming</c:v>
                </c:pt>
              </c:strCache>
            </c:strRef>
          </c:cat>
          <c:val>
            <c:numRef>
              <c:f>Analyse!$B$6:$B$20</c:f>
              <c:numCache>
                <c:formatCode>General</c:formatCode>
                <c:ptCount val="15"/>
                <c:pt idx="0">
                  <c:v>71404</c:v>
                </c:pt>
                <c:pt idx="1">
                  <c:v>83569</c:v>
                </c:pt>
                <c:pt idx="2">
                  <c:v>56273</c:v>
                </c:pt>
                <c:pt idx="3">
                  <c:v>10554</c:v>
                </c:pt>
                <c:pt idx="4">
                  <c:v>86943</c:v>
                </c:pt>
                <c:pt idx="5">
                  <c:v>77347</c:v>
                </c:pt>
                <c:pt idx="6">
                  <c:v>9350</c:v>
                </c:pt>
                <c:pt idx="7">
                  <c:v>8719</c:v>
                </c:pt>
                <c:pt idx="8">
                  <c:v>70699</c:v>
                </c:pt>
                <c:pt idx="9">
                  <c:v>77116</c:v>
                </c:pt>
                <c:pt idx="10">
                  <c:v>84898</c:v>
                </c:pt>
                <c:pt idx="11">
                  <c:v>9615</c:v>
                </c:pt>
                <c:pt idx="12">
                  <c:v>42775</c:v>
                </c:pt>
                <c:pt idx="13">
                  <c:v>71301</c:v>
                </c:pt>
                <c:pt idx="14">
                  <c:v>97810</c:v>
                </c:pt>
              </c:numCache>
            </c:numRef>
          </c:val>
          <c:extLst>
            <c:ext xmlns:c16="http://schemas.microsoft.com/office/drawing/2014/chart" uri="{C3380CC4-5D6E-409C-BE32-E72D297353CC}">
              <c16:uniqueId val="{00000000-58CF-413B-9696-9A21BFFE2667}"/>
            </c:ext>
          </c:extLst>
        </c:ser>
        <c:dLbls>
          <c:showLegendKey val="0"/>
          <c:showVal val="1"/>
          <c:showCatName val="0"/>
          <c:showSerName val="0"/>
          <c:showPercent val="0"/>
          <c:showBubbleSize val="0"/>
        </c:dLbls>
        <c:gapWidth val="150"/>
        <c:shape val="box"/>
        <c:axId val="1918519999"/>
        <c:axId val="1918517119"/>
        <c:axId val="0"/>
      </c:bar3DChart>
      <c:catAx>
        <c:axId val="191851999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517119"/>
        <c:crosses val="autoZero"/>
        <c:auto val="1"/>
        <c:lblAlgn val="ctr"/>
        <c:lblOffset val="100"/>
        <c:noMultiLvlLbl val="0"/>
      </c:catAx>
      <c:valAx>
        <c:axId val="1918517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5199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Dashboard.xlsm]Analyse!PivotTable5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2C3E50"/>
                </a:solidFill>
              </a:rPr>
              <a:t>Poverty</a:t>
            </a:r>
            <a:r>
              <a:rPr lang="en-US" sz="1600" b="1" baseline="0">
                <a:solidFill>
                  <a:srgbClr val="2C3E50"/>
                </a:solidFill>
              </a:rPr>
              <a:t> &amp; Crime Rate</a:t>
            </a:r>
            <a:endParaRPr lang="en-US" sz="1600" b="1">
              <a:solidFill>
                <a:srgbClr val="2C3E5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Analyse!$B$22</c:f>
              <c:strCache>
                <c:ptCount val="1"/>
                <c:pt idx="0">
                  <c:v>Poverty Rate </c:v>
                </c:pt>
              </c:strCache>
            </c:strRef>
          </c:tx>
          <c:spPr>
            <a:solidFill>
              <a:schemeClr val="accent1"/>
            </a:solidFill>
            <a:ln>
              <a:noFill/>
            </a:ln>
            <a:effectLst/>
          </c:spPr>
          <c:cat>
            <c:strRef>
              <c:f>Analyse!$A$23:$A$37</c:f>
              <c:strCache>
                <c:ptCount val="15"/>
                <c:pt idx="0">
                  <c:v>Florida</c:v>
                </c:pt>
                <c:pt idx="1">
                  <c:v>Idaho</c:v>
                </c:pt>
                <c:pt idx="2">
                  <c:v>Iowa</c:v>
                </c:pt>
                <c:pt idx="3">
                  <c:v>Massachusetts</c:v>
                </c:pt>
                <c:pt idx="4">
                  <c:v>Minnesota</c:v>
                </c:pt>
                <c:pt idx="5">
                  <c:v>Nebraska</c:v>
                </c:pt>
                <c:pt idx="6">
                  <c:v>New Hampshire</c:v>
                </c:pt>
                <c:pt idx="7">
                  <c:v>New Jersey</c:v>
                </c:pt>
                <c:pt idx="8">
                  <c:v>North Dakota</c:v>
                </c:pt>
                <c:pt idx="9">
                  <c:v>South Dakota</c:v>
                </c:pt>
                <c:pt idx="10">
                  <c:v>Utah</c:v>
                </c:pt>
                <c:pt idx="11">
                  <c:v>Vermont</c:v>
                </c:pt>
                <c:pt idx="12">
                  <c:v>Virginia</c:v>
                </c:pt>
                <c:pt idx="13">
                  <c:v>Washington</c:v>
                </c:pt>
                <c:pt idx="14">
                  <c:v>Wyoming</c:v>
                </c:pt>
              </c:strCache>
            </c:strRef>
          </c:cat>
          <c:val>
            <c:numRef>
              <c:f>Analyse!$B$23:$B$37</c:f>
              <c:numCache>
                <c:formatCode>0.000</c:formatCode>
                <c:ptCount val="15"/>
                <c:pt idx="0">
                  <c:v>0.127</c:v>
                </c:pt>
                <c:pt idx="1">
                  <c:v>0.107</c:v>
                </c:pt>
                <c:pt idx="2">
                  <c:v>0.126</c:v>
                </c:pt>
                <c:pt idx="3">
                  <c:v>0.104</c:v>
                </c:pt>
                <c:pt idx="4">
                  <c:v>9.6000000000000002E-2</c:v>
                </c:pt>
                <c:pt idx="5">
                  <c:v>0.112</c:v>
                </c:pt>
                <c:pt idx="6">
                  <c:v>7.1999999999999995E-2</c:v>
                </c:pt>
                <c:pt idx="7">
                  <c:v>9.7000000000000003E-2</c:v>
                </c:pt>
                <c:pt idx="8">
                  <c:v>0.115</c:v>
                </c:pt>
                <c:pt idx="9">
                  <c:v>0.125</c:v>
                </c:pt>
                <c:pt idx="10">
                  <c:v>8.2000000000000003E-2</c:v>
                </c:pt>
                <c:pt idx="11">
                  <c:v>0.104</c:v>
                </c:pt>
                <c:pt idx="12">
                  <c:v>0.106</c:v>
                </c:pt>
                <c:pt idx="13">
                  <c:v>0.1</c:v>
                </c:pt>
                <c:pt idx="14">
                  <c:v>0.11799999999999999</c:v>
                </c:pt>
              </c:numCache>
            </c:numRef>
          </c:val>
          <c:extLst>
            <c:ext xmlns:c16="http://schemas.microsoft.com/office/drawing/2014/chart" uri="{C3380CC4-5D6E-409C-BE32-E72D297353CC}">
              <c16:uniqueId val="{00000000-990C-4330-8B7E-CC26F1140E58}"/>
            </c:ext>
          </c:extLst>
        </c:ser>
        <c:dLbls>
          <c:showLegendKey val="0"/>
          <c:showVal val="0"/>
          <c:showCatName val="0"/>
          <c:showSerName val="0"/>
          <c:showPercent val="0"/>
          <c:showBubbleSize val="0"/>
        </c:dLbls>
        <c:axId val="1437735759"/>
        <c:axId val="1984054799"/>
      </c:areaChart>
      <c:lineChart>
        <c:grouping val="stacked"/>
        <c:varyColors val="0"/>
        <c:ser>
          <c:idx val="1"/>
          <c:order val="1"/>
          <c:tx>
            <c:strRef>
              <c:f>Analyse!$C$22</c:f>
              <c:strCache>
                <c:ptCount val="1"/>
                <c:pt idx="0">
                  <c:v>Crime Rate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Analyse!$A$23:$A$37</c:f>
              <c:strCache>
                <c:ptCount val="15"/>
                <c:pt idx="0">
                  <c:v>Florida</c:v>
                </c:pt>
                <c:pt idx="1">
                  <c:v>Idaho</c:v>
                </c:pt>
                <c:pt idx="2">
                  <c:v>Iowa</c:v>
                </c:pt>
                <c:pt idx="3">
                  <c:v>Massachusetts</c:v>
                </c:pt>
                <c:pt idx="4">
                  <c:v>Minnesota</c:v>
                </c:pt>
                <c:pt idx="5">
                  <c:v>Nebraska</c:v>
                </c:pt>
                <c:pt idx="6">
                  <c:v>New Hampshire</c:v>
                </c:pt>
                <c:pt idx="7">
                  <c:v>New Jersey</c:v>
                </c:pt>
                <c:pt idx="8">
                  <c:v>North Dakota</c:v>
                </c:pt>
                <c:pt idx="9">
                  <c:v>South Dakota</c:v>
                </c:pt>
                <c:pt idx="10">
                  <c:v>Utah</c:v>
                </c:pt>
                <c:pt idx="11">
                  <c:v>Vermont</c:v>
                </c:pt>
                <c:pt idx="12">
                  <c:v>Virginia</c:v>
                </c:pt>
                <c:pt idx="13">
                  <c:v>Washington</c:v>
                </c:pt>
                <c:pt idx="14">
                  <c:v>Wyoming</c:v>
                </c:pt>
              </c:strCache>
            </c:strRef>
          </c:cat>
          <c:val>
            <c:numRef>
              <c:f>Analyse!$C$23:$C$37</c:f>
              <c:numCache>
                <c:formatCode>0.00%</c:formatCode>
                <c:ptCount val="15"/>
                <c:pt idx="0">
                  <c:v>3.9219999999999998E-2</c:v>
                </c:pt>
                <c:pt idx="1">
                  <c:v>2.4660000000000001E-2</c:v>
                </c:pt>
                <c:pt idx="2">
                  <c:v>2.4660000000000001E-2</c:v>
                </c:pt>
                <c:pt idx="3">
                  <c:v>2.4150000000000001E-2</c:v>
                </c:pt>
                <c:pt idx="4">
                  <c:v>4.5269999999999998E-2</c:v>
                </c:pt>
                <c:pt idx="5">
                  <c:v>4.1520000000000001E-2</c:v>
                </c:pt>
                <c:pt idx="6">
                  <c:v>2.3439999999999999E-2</c:v>
                </c:pt>
                <c:pt idx="7">
                  <c:v>2.512E-2</c:v>
                </c:pt>
                <c:pt idx="8">
                  <c:v>4.5769999999999998E-2</c:v>
                </c:pt>
                <c:pt idx="9">
                  <c:v>4.4150000000000002E-2</c:v>
                </c:pt>
                <c:pt idx="10">
                  <c:v>5.1900000000000002E-2</c:v>
                </c:pt>
                <c:pt idx="11">
                  <c:v>2.6069999999999999E-2</c:v>
                </c:pt>
                <c:pt idx="12">
                  <c:v>3.1210000000000002E-2</c:v>
                </c:pt>
                <c:pt idx="13">
                  <c:v>5.7590000000000002E-2</c:v>
                </c:pt>
                <c:pt idx="14">
                  <c:v>3.4549999999999997E-2</c:v>
                </c:pt>
              </c:numCache>
            </c:numRef>
          </c:val>
          <c:smooth val="0"/>
          <c:extLst>
            <c:ext xmlns:c16="http://schemas.microsoft.com/office/drawing/2014/chart" uri="{C3380CC4-5D6E-409C-BE32-E72D297353CC}">
              <c16:uniqueId val="{00000001-990C-4330-8B7E-CC26F1140E58}"/>
            </c:ext>
          </c:extLst>
        </c:ser>
        <c:dLbls>
          <c:showLegendKey val="0"/>
          <c:showVal val="0"/>
          <c:showCatName val="0"/>
          <c:showSerName val="0"/>
          <c:showPercent val="0"/>
          <c:showBubbleSize val="0"/>
        </c:dLbls>
        <c:marker val="1"/>
        <c:smooth val="0"/>
        <c:axId val="1973053599"/>
        <c:axId val="1973056479"/>
      </c:lineChart>
      <c:catAx>
        <c:axId val="143773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4054799"/>
        <c:crosses val="autoZero"/>
        <c:auto val="1"/>
        <c:lblAlgn val="ctr"/>
        <c:lblOffset val="100"/>
        <c:noMultiLvlLbl val="0"/>
      </c:catAx>
      <c:valAx>
        <c:axId val="1984054799"/>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7735759"/>
        <c:crosses val="autoZero"/>
        <c:crossBetween val="between"/>
      </c:valAx>
      <c:valAx>
        <c:axId val="1973056479"/>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3053599"/>
        <c:crosses val="max"/>
        <c:crossBetween val="between"/>
      </c:valAx>
      <c:catAx>
        <c:axId val="1973053599"/>
        <c:scaling>
          <c:orientation val="minMax"/>
        </c:scaling>
        <c:delete val="1"/>
        <c:axPos val="b"/>
        <c:numFmt formatCode="General" sourceLinked="1"/>
        <c:majorTickMark val="out"/>
        <c:minorTickMark val="none"/>
        <c:tickLblPos val="nextTo"/>
        <c:crossAx val="19730564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rich>
          <a:bodyPr spcFirstLastPara="1" vertOverflow="ellipsis" horzOverflow="overflow" wrap="square" lIns="0" tIns="0" rIns="0" bIns="0"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IN" sz="1400" b="1" i="0" u="none" strike="noStrike" baseline="0">
                <a:solidFill>
                  <a:schemeClr val="bg1"/>
                </a:solidFill>
                <a:effectLst/>
                <a:latin typeface="Aptos Narrow" panose="02110004020202020204"/>
                <a:ea typeface="Calibri" panose="020F0502020204030204" pitchFamily="34" charset="0"/>
                <a:cs typeface="Calibri" panose="020F0502020204030204" pitchFamily="34" charset="0"/>
              </a:rPr>
              <a:t>Average Internet Speed (in MBPS) </a:t>
            </a:r>
            <a:endParaRPr lang="en-US">
              <a:solidFill>
                <a:schemeClr val="bg1"/>
              </a:solidFill>
              <a:effectLst/>
            </a:endParaRPr>
          </a:p>
        </cx:rich>
      </cx:tx>
      <cx:spPr>
        <a:solidFill>
          <a:schemeClr val="tx1"/>
        </a:solidFill>
      </cx:spPr>
    </cx:title>
    <cx:plotArea>
      <cx:plotAreaRegion>
        <cx:plotSurface>
          <cx:spPr>
            <a:solidFill>
              <a:srgbClr val="ECF0F1"/>
            </a:solidFill>
          </cx:spPr>
        </cx:plotSurface>
        <cx:series layoutId="regionMap" uniqueId="{98EE6D35-A3B4-4BC2-ABC8-A23E6316C3DB}">
          <cx:tx>
            <cx:txData>
              <cx:f>_xlchart.v5.2</cx:f>
              <cx:v>Average Internet Speed (in MBPS) </cx:v>
            </cx:txData>
          </cx:tx>
          <cx: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cx:spPr>
          <cx:dataLabels>
            <cx:txPr>
              <a:bodyPr spcFirstLastPara="1" vertOverflow="ellipsis" horzOverflow="overflow" wrap="square" lIns="0" tIns="0" rIns="0" bIns="0" anchor="ctr" anchorCtr="1"/>
              <a:lstStyle/>
              <a:p>
                <a:pPr algn="ctr" rtl="0">
                  <a:defRPr sz="1100" b="1">
                    <a:solidFill>
                      <a:schemeClr val="tx1"/>
                    </a:solidFill>
                  </a:defRPr>
                </a:pPr>
                <a:endParaRPr lang="en-US" sz="1100" b="1" i="0" u="none" strike="noStrike" baseline="0">
                  <a:solidFill>
                    <a:schemeClr val="tx1"/>
                  </a:solidFill>
                  <a:latin typeface="Aptos Narrow" panose="02110004020202020204"/>
                </a:endParaRPr>
              </a:p>
            </cx:txPr>
            <cx:visibility seriesName="0" categoryName="0" value="1"/>
          </cx:dataLabels>
          <cx:dataId val="0"/>
          <cx:layoutPr>
            <cx:geography cultureLanguage="en-US" cultureRegion="US" attribution="Powered by Bing">
              <cx:geoCache provider="{E9337A44-BEBE-4D9F-B70C-5C5E7DAFC167}">
                <cx:binary>7Hxpc9zGsuVfUejzgK59ufH8IqaAbjbZJEVSu74gaJLCjgJQhaXw61+2RMkiLcu+cz0xoYihFVaQ
QHUtpzLz5Mmk/ut2+ddtfX8zPFuaunX/ul1+fZ573/3rl1/cbX7f3LijprgdrLMf/dGtbX6xHz8W
t/e/3A03c9FmvxCE2S+3+c3g75fn//1f8GnZvT2ztze+sO3VeD+E63s31t794Nl3Hz27uWuKNimc
H4pbj399/vbG5TCjt+3zZ/etL3x4Fbr7X58/eu/5s1+eftofZn5Ww+L8eAdjmTxiGFMuldSfvuTz
Z7Vts4fHESboiHPBFGIYHb7wl7kvbhoY//fW9GlFN3d3w71zsK1Pfz8e+2gP8Oh/P392a8fWH04v
g4P89fnrtvD3d89e+ht/754/K5yNP78Q28NGXr/8tPNfHp//f//Xkx/AWTz5yTcQPT24v3r0B4Te
FENWtMXNlzP6z/Gh8ohjojQVD/iox/hIdSS0Qlyjh+f0y9yf8fk7K/o+Or+PfILNm58Tm7fBgjll
X47nP4eGkSOwGEEE5p9N5wk0GAF2HDPGEfr8wpe5H0znrxf0fWS+7uQJMG/f/5RG89KOPn+W3FTW
/4OGw9gRowIzLv/EsSF0RChiGgv2GJe/u57vg/N49BOEXiY/JUIX9/Oz3U3TQfgZ7r8c1j9gQPRI
KC6wpmAhhy/wXd/GHomPAD1BNNKfn5Mvc382oL+9rO8j9WT4E6gudj8nVHb4v2FMwBKYoEhh+tmT
6cdIATU4YkJTQvDX558ZygNSf3NVfwLUo9FPcfp5Ter0fnD34cud/gfsCR0BPkhz+pmqIbCXR/bE
joRUHAjrA0hPHN/BIP56TX+C0TdjnyJ0+lNa0vmNcze3+ejuvQe++Y8RbnKEJaGSSfrZqeEnIOEj
gTiiVAET/9aG/vZ6vg/Qk+FPMDr/OTndxf1vw42r/knaADGHSEwh7nyNOd/akNZHCogd0UC6P33x
xyj9nRV9H6DfRz7B5mLzc9pP0bb37p/ldOKIAmFj9MvhP7EdzY6wVhRBHHqMyvnfWcv3Yflm6BNc
zi9+SlxO7PxP2gs5QpIJLhn7bA9POJymRwdyJzB6eC4eI/NXq/k+KJ9HPcHj5Of0Ya/9Tf7lTP5z
DkD1EYXoAqz5gVM/4QAYQ3yRihAiniDxV+v4PhKfRz1B4vWrn8Iybn8oMH0b8B+9+W8qbIAIhHMw
ECq/byH6CGFFBdXsMy17wsqe6F5/vqw/AeixbPZoJz+HqHZyd5Pbf85CQBigCuQywh5o8FPZBgNN
5ppKUNW+zPo5i/nLhXwfgYdhT2zk5OfMW97cD41t/ZeD+c8dFsCBJCfw35PIIcmRAHFNC/WQcz5B
42+s5Pt4fB34BJE3P4fXerRqqApsazsUd/9gSCfqiOuDcPmQoBwk/28psCJHTEnKCDCtT18A3LeJ
yt9Y0PeB+Trw0RZhh2f/b8LJnxcKvlZUkht/s/lUivmmVvDjp5/2DiWiJ0N/lGB+Pt2Tu1+fUyEU
xIevJZ7Dhzw6/LeFu7WtK76WiL4ZdX/j/K/PIyWOFAJ+gMHmlARXCERgvv/0SJMjpTAobppRxaTg
8Kg9qC+fCkVIUcJAAlKMSMD/+TN3UG7hEVwI8JcgPAhGkNKwwi+bvLR1yGA9T75/1o7NpS1a7359
DlN0n986LJUprbnkFBFQbxnBgh6e395cg3QPL+P/RTDKq5HnYq8zO+yGBi+XHLfDbg2hWmM/OA62
8PWAHhbwVxNKIpBmmCMFkvHjCSvYdUe6hu8pJyrB01wcr3pcLkWt+l0WHIY84Efzgd/6wwaBMsN5
aU2VIujxfLoUq9NEsr20ubgpNUxAyxK/cnwqjn88FYSyp1MB1IA1lPCQROzJ1oZ8zrOxwmxfNTO/
KWQ57Lhfi84IkuELv676jaxKfDGkfLn+8dTf2SXcJA63QYHeJPETGOe+mgKKBrZ3pGQnreowMRFv
VdJMWdvEP54Mg0t6ulG4gVgTkJOVUAcb+fbSLLZ2jVwKtp+tgIlkN6DJzCWqi3jyssxMS8suP22W
xak4DPnk3jFs6zxZ6iKKEWk1+KB/D2TQD5QQIJlKIcFXPl5QifN0rLOU7dXMYLu66YtjFFXwv/+z
uTAGo8FwheHiPLlQWUlRnYfA9tTN+GJkkbuTvlmux5J0UDL60bYO5/jYOAWUuxXjXCIOBAmyi2/P
ufDdEAk7sv2U5h8dcXozkib6CzT/eHVgEnGQkuFv8FJPwERTyaQnNduvlbP7Uk15Z5ToohivVVSY
H+8IH07n6ZYoSD5EUAZHqJ4gpVKKpzXCdF+SomoSOsGcOI2cMPXguveqr/gNEwGMtNDLdcg9Pcmm
lJ78xTL+eIMFgohL0MFUGXl6YVKCSZqKiu0X5ckprVocmT7V6qyLHNzQXjfNpqrIIExYx4CTT8bL
O1ccgwcZdj9ezfcQYCCzMH1AGvKWxzBXtRZLU3VgvFO6XAMJmM3cjnbPukFv/v2phKCKYwmhBXjg
46mWTg12kD3dFxyOV+sMTDaqF3D1SgASP57scWwB9w0qxaFSziCyHPj9k8m63Nu677voNA2oXE0U
Dd37ltbd+3VWy+XUBvAOP54RP3bBhymlgtgIgRtuM6OHiPqtxXTVyqCCLPUpSofimKk2qo0b3HIt
5mi5LlwKuFK+Lpe5KsmrIgOTahZv9zJquzlRheh3aw/h75MH8azqHFwAUqwmzaMVJwW2f3VI/FOI
/d0kOAR+Cd4ULqIGHRo4+BP4W7WUbGkoO3U1arZozdetLUS0zbCrRmNRE5YsrutysGlsyy6IDYYP
uxqGqG42oaxhjWmTApApz/zdSht/t5AKrq7OV7Ar0kfgedFQ4slwPFeZwZlmN32uluta9MMOlTBs
QIKeyADjElcSejKTsn/vJ2n3KmP0dCjhAE2oynCZFXU0bAQl+o1f86iMc532eIcdh492Mh/mpNG5
qOJ6KFJqsrGg4rhue5hDwUkLl4fLvge917CJkdyMRYcvXG7hhnQMd++DlX49jtJVi9O5o3bvfNYM
SRhwm59Wde7vqrLu38uuJd1pg4twjRWwloj4aDJrV2XFBxw0QCZXKqrKzGpO3/S1hbvnK3FTFQRu
OysJvwlYuzuHu0OEniZ+04SK3HZrSnZTL/vrQfjmmM+yj2WRscmA/524mTWHCIMDxq8i2oORLkqd
sbSKYrowONG0SN8ERorjlFJ3NzivksgS/MqvBM5Hz6m8di5b35CJu7tOM8CpEbN+g5fB3VVNRogR
1OvN6lJMYxUG/WbsArwVpYGe6LSFT2nKgF+tHs6Njcj1nyNqC5F62zlRUxOafCh3GVt8bYKUcLNZ
LlgwTRtWeZofiElUyuUy6xt9hkqyXFc2iGVToygSCW9rfNEXPdyaiiJ+I0UFpxnKsvPxZFVo4wml
Upx2B38ZTbJ3x45NfX1MFgKLAXGmajaDh7gobA72Z1EWsk2zKnyRR00NUPLGqzi1qp8TGRjEG1+l
aW1wS+EuT2Wk3ziUwscqP6pkiehy2WEFsch7WS3bUENcNr7lhMYdzdbzVdZrFuOi4TeT7fmNyEdN
jGsHXSc84OFlRleyW9c5kwnJBPvQTlP7Sq1FOK/7qU56t1hsyqjGaosLNJwWtZ1OsjrANK5elnhu
VzsmyKXiVV2vxWyQUG1lJC/DhUIK7RuW2840ldZxwR2NFx6xOLRreFVpxDejzbvutEKhAGYkqtys
yLVXvnOqNWU6NveWD/6jYqs9gXLJeKEFH9s4LGW6xGMFnilea3BcM+oGOIQodO9EXQ1u63gQt8sq
ceJ8255Zh4Zsi6DWNRs9dkWCS9seT3a0F7qc8By3q8s/ZDTiRlrfnQeRi+O+DekeBy/7Y+Vm8b4r
Gr8Nbbd+ENlsTylrsmCWma0f2rqvNpyTNXZ4AhhVyqe4qub2Q9mV0iftlLukQoM8PpBRZ+TSO5IM
QxNteuCAZgLysm0U8QfHlJrWovR6rFx00lZ9d1IOudsGPob7NLPzJo+K6Cpo27wrqonFdWi96dqi
MmXvCiOr4UZ6BvZRrFGSkiaPx2nA26az8EEqumBLjsD909RaUw00x4mQNbU+rnotKTcDqLaZPSDf
zWfAdNWOUBx40hbTbFiawkSs1mnCxiw/UbZzMbQc5slqQ7QhjR1fd5Xou3hq3XbkVYjbHN3W0tl3
ui6IKTReti5KaTLWsA6d+uYKotJaAfBrfiZYP5suQ4CozEh5ZqVuL5Efu8vaebjUkQBGdhNSjy8i
UoJJOAcZw8Z2npR7saRAsAldfB+Dt/V32YDAIdlV41cBrXBlkZ/0m0GOS7ZR48LRpirypTXe9mgy
jUzrNSY8su9TzJbLeumjWIZ62HmnIR6rkaeFqQmzezvUh0/DS+eOq8KDCwJvDMSss+BtF8ijnCuB
wolpxa+mjoHpjznvd2xh5bLjuOredx1c29jKyTpT1W39ntg+Az6Xj7PB1BILNp+7rvnAy1x1H0M3
MeMm6dNNLb3btCWb7xs191nMq4i/1SLVJ0Ou3a62IctNu2TFaGpc5r+5yd+UHacbzoosi9MA7uNd
vUZj9LJYO0t3iuTqYhrKIhZ1UW3yee53ZSTWbVBt93rVWSONlmx+PfGhuRZZ95HU67sFZM0XlSd+
B35V1jHRw7hhY0fuMp9nd2tRzC+zUQJyYPHlpp+qTBuWyXk1U15UwfS1k6eCQ3tlssx118ROgB+P
q9Fl887rBe1Zb8N57zy9FutSRGZoqhEbASiUMZAd/SZqp6XdLNjX58swsBdrsdYveszG66ZQfTxY
7G7ZFNUb61f6m9Vi2nvRrcTwlBTCOEWLuMqH3MzjOmvT9DW4C53ypGwUOw3z9FvaRfPL2WfVFR5H
dD4UGf9QzaLK4qHONcTKFhemDzS70CwU58PC6WmkZy1MPmXuhhRzt28k1Zu24OMeCxSlhnnXDMcY
XN42AjI7JQsmJDUFS+WyzeuWvhJV1+2mlq4vuyJPz1AY1yufI2v0lM3vocW3HzfIOVacLsWy8FhZ
FAmj0llVF2JBc3esoZ1gB1ludFbK1b5GxUB0HFVj0xoSSVTtRrg8FzNE+I946t352HXT8QKBcN+W
rqmTTuepMxZDepGDczuuWIqLuANmEcXZJKerjEwzNW2Z8g7uZT28rxZPzRBqfrYUBNwoRUH7uO+m
dk5IM4xpXLeWnHsZVm6C7rHaqFoycIh4vrdEjOlWR/26zbqMnTDWkw2txbpzoyyuXYP71yMO7o2q
A9tMy1rFa7kUppKCGYbyHJtlLWVCu1kWMU7X/A41HuKQR2GK02gq6oTBUV1OK+Qpbb3KIeY2LV4Q
JJfXaJijc154mpmC9nSrIjpI03Yt3/ZO8jm2pNDueIS7+zGt8+Vtp6i/nXkq72bhRbFFnRhd7GrM
67i0tRxMqqj9uPq1L5IhX8O4k777yPMlu3RlQyHKQbP1KZ2X3Bpr2z7Jl6IPhslhiCuIzi+iei43
BInUJzoDzp6tYVkMyq3MDR+ZV/tqRMFETE7vchHsGMtsLV8gmUpk0q6tX7S6rr1pyRJd5REF1GoQ
kNiu6eZ6Gd8seb+k7HMG+6A+Xn4m5p8VtFsLxKrI8odm8q/f/vcr28CfT63Nv//w0Iv++3fnX5rY
f/jW8b09FDvc05cOq/n6WbCYh9Ud9MdH3/xBDP2i/D2ROz/3xP/Jw7+rhYLY+E029kctFETNZ7+3
MX+ron4a+aCHSnkE8h/kZ/QgNlBQPr/qoSB1C05A0IQmRcwOounveig6goY4aAWBxnlIX4WEXPJB
D4WebYjPoP9ISKAY0UL/W3qoepyNcyAFQmLQXKTEGITWp1JaFthctyWEfdC4xr1VLQcXQDq3p6Fh
Sc38IZiNFF870AxCk9UGFUuR1AjPO/CzEAbSdJTbwevhpVbwjqa1flMoXx/nOsoMLUYNwXXh/XYU
ja/ipcr5iUvBXLdjOaZrDORxhuxN8ZobVnGRTDpUCe+aZden7LRV1TiBF8oGkzUqe41bcOcG4lYa
a1G+0/P8Brs6FcBjXHi9+gnSnbkO22KKUOJZOV4BscOn8IsPRW6W1s0bn0b1FK9R2l/z0BdnMAR3
yYDkdNzZ6KpIu9KB9ZbzboCU53ydQ2sWR9HbdRimPQhi4VXaBboNg8sviXaiN3o97LxuKwd8SRSQ
OZf1Vkg+tSafQ/MyyznfAovp4tLBY4l6vNe4eG0ry02m/HSuWNiqqfZx1CObZJOdIL0smH9ZAdu8
TC2mVylIPIuxYmB4a8MIO65VtCZ6TLVRcmIb0k0QS0NfJ7DmKqHOs5hZ3RzigzTpQt+OVdXtcJGf
SRbIMR7zF5laJ5+QgFidyCknMeMzM22drezMR8OUQmYhPEhkq4e82+/03PrXzEF+ZLpixZtoIgPE
zEAbM7iWAx58PFsV2fkSvS8g70xG2MumSv2btA3oVM/D61AFFuuA2g/DXIZTnHfSNEHlCXDLTYY9
T+oyy64da2mbQFJen6uy6S/qNm/gqOsml6ZrrHiRjU5cVjRKkyiX0/t0SMlV6G254ZlYzsLa3QO/
BD4PeaDYpH2RXa5z6U4XXRvI8GlMIZM+q0WVAqsSaTK2UXqFqX+XOdvGHLKvk1wMabafPaqnqwVq
Bv3NkGXuA5r78WMBScaVaDq+L7OevqwEKxMIz+MZd64XsZ8aOLK5a4bzkaAP88LGi6gjQKhndA+y
7Qc5z9bFDW/7ExAlgdkVFL0ItcQuaYag3qssH18Bp7NxOaX1RvRpPcZrM47NDrGRl9tU2LaGEDzP
H/JstSjBAdSFjYuA55uqHLBZAeUNB712U7RuQleTXeu4Qjk66w6JQbzgkF5NHbmcOX4PhYP3aBjN
gIDbDBI13U6LogNGJPN+OJ4c3BiUEfGWp+pVlnb3iIxpMKWsu80Av+Oz4/U0qRd5zTrTalXEZS7I
LgOfcw2fkBlJXX7h+mKvhJ5PFtw2wEYEyyHpy9xMzoGQr9mxSpchi0fQzpoi6sbrwQcJS3LbMhrT
y2lsrRn6CrK5iU6Jm8SyHZE+DozmJ1W1Tv0VWYlqdmOKGw30PpR7yOrLalM4iKBmQZafO07TjaQ2
P8mbFG/6zs9GyChKcCfUWzY0gRu/7lsko10GedBxperMpIJEW56GyWgU5m3LysJkS129A34Ykqbs
570q5Ja1vjFdGvBolGMVpGMlv8ptU206UU1GzHkTq6licdk3/WlZ0TWx49gdT8xBOQE32fk88RlO
oFzXV32N+An3ajhfkI/ezFmSj/V+RFWWNLXralNkVm1AMmi2ZbcXYXlH0kUkdnDkZFnTdcPhrX3N
kT3HNe0Lw1m0DKa3PUEJHzmVJ5WYFHiqob+ieqCvFFd5LESnkpzjfI5Dt4bjNEqtjHVdVe/XUo+G
LXLec4ZLAw7iQ12pEqjxmC+GSz1sD2UUoG7TBcgU4eOYrxM8lXKb84zVRhbdeLykQOJT0UOamuvK
5KLFiSVoPEmbUMfWpsNZUY8fILCI7ezradeu/QxWmtpoNb6bZxE3TeFvodxB6w20w7oz1qR6O2X4
ZSaF2tGoQfsCyS4eWlUe1zJqTL4OO9cpZDAE2E0rbYhxG007MrToBAWJ41RX+YmY2bKBfBnthZ8R
5O2D2roOkbMREuf90spis5D6OhVriKXL5PHcQSZpQID9OBZhtCBBKWaaDnzvDMJBAo3t/UmvcbOa
Mqv6BC30csA2juxCQszBRM/zLisuCrSouKqhEhHWSiecFPg0+D7dzmO/X5qm36B1cXfcDkucAeXb
lHXdnXkKDHcdWX4yrPo3pX1zkvHhrtfZuBmr+bemYZBXgH63GUcIN3iA/H5w2W6ca5o0KSSJOL32
rqUXtCGtUePEr2ZWNNshchdZKK9BcYuu5ry8XOBcT9OFE7DG+iKTzbpdRKUhNEIChUBSdGLLVzck
rNJZa/g0+nhgS3jNqhAgG4Nzve7HIhOna+nDeB4cyuyGQOQcDCkWCrIYooc8l802oI1o1Yo2eaq7
9WVTIB29mx1ZQlJIqdYEZCcSo6lq5WqWCtc120iPcdh1vHjJ5SDKZJ1WoDKuqtnFVOEBrhXH1JCy
LC1k+UNzHyxeuEHj2r8glkR50pXD+pZ24/K2sWg5lb7E+7Fv3XEfohnEQCgCCpBCq+kUiWoG11+3
cAZT7nehQesGN+AxVRWJm1CqMgE+V55OSI/UgMrVXKt1LE4b1LiEUr6BXyyat4Go7K4nY3Ts/Mwv
XVD9dlY93tLBly3ol+Beq57CAVUBlMAcZdkbFtIukWXjzdCBmmQ0SOm7YljZlKCVj2a2I54NRLd1
NpZ1dD90Y5NvPBk67AwJo1YGIhfacgexzagApQFQVsbCrKA2n0JC0WbJqtw0nqA8jPs6r6KTqO8F
EL8UjZVB0EX7AvNI+BhS8L7YVrzXG6v0OiQ5HUVSZT1670DjwMlSovJK5UN/XepydkaLUMQWa37s
inTZDlBf3q04XybTV8uEDAqDBCVtCP5tDQXuJHUanzWlajhoNEt4t9KCbYXjx9SnY2+K1Y/BqBay
1r4q0thZOu2yIponExUu29Alai5YEAcFKZJ9HTeCqBNWMPQ2TfMyzjqU5nE2UlVtu8DaCa6LR3Ex
eP8OnPcKtRMn9lbj35gEaT1IjhoDiKa9qUHeXIweqnwz+7EMZhg5ib0XaxczkTcv2t4pHIP6OW48
z887PndbPTf+bB4lPxEgAIGMBpWrK1cPY7VxIEMfs1YMGw2gnarR9VNStyzcLanKP2jg3K9JEHKf
srwVcREmeeZAVhVJmkGB47xBnMYkyHe+oe5tSEE2Fxln2zoCrZiALHYykLAOsStL8Z52bJpjp7ph
V1AJfqAm+rwuQ7gnUZrFvi/wDfjT4rSYI7wJPRPvpqlyIOQMIKhto77IVeIRiC6ZbwaQT0HOGbEF
OUrMrbFBVpuKFfpYL8244cs07Vc5zRcBVKBrB2KmKdt5iUteEWOrLr8J/bz0hljLQJC2HpQ33A2b
nkw+bixIAjT1/SYC+XZLJiTvCGTAZ1CcXC9Uv3YvuxnK1zH48/Kj9di90i2q32UY1RnI4aU+BfEs
PS1kjU5Rl/ZbCfd1j/pMXNHVzzGozPaErAgmWHlksGTdJrQSA/dHAvTfdARFz+cVuOam3c6i48dl
HbUnCwIu3ul6fgXCId1GaNj4ri9fFBloT2XZTBellGQPTmJKwADBWOREgLCA56PVUMR51HebqinF
JjDc2BhE5N7YxoGtD6zcdwVwlLpB0CSifX2bV4KvO1nn86boR/Fx8na+E82Sq7ir9XI+EbLQ7Tww
u/2U1P7//P+7zYXfZPEUfrvzR/n/q/vlxn3pTfvUB/V5xEPe/6k1XROqsRby0NAEfQYPfVAYCcju
CZHQvgHpvzpU4x/6oKiAZicBj4iAYjJk9/BrOg95P+FHinLI16HV/aGx6ovA8UjFgeavh++/bUuC
frtDOfqbOizGhEPniD60qkKxE+Z6XDsGPhlNvbXoZO7J8HYC2QmqP+FWAbm5gGy2h5oEBIylsdW1
nNW5c930Tkxl/xJy5Jc9GtzpCBUV0yu5njM7RichpSKF+kuZX45tH92MUoK6KSzcYabSg8jFSeYu
W8kDvWKsqEhjIii+yROgAIqA2roi+9rVEBCBWFarpcdd5bvuHPwUkiWE+3kFwazSk2+YSdOqZNt1
zSBtN908DP3rWrWeL0a2TY1Pc70IYnqSar+ROWIOZFgGJVTPoKJLwANVh5osULCgN0VTrvgUCCGB
8Jq5HgoXFlsee5Yu6lgRGfjJWFiOUgjE0Oj0Kg1RBKIEltUEOp/l9qZsU3WXQaSRyUrc4vrNkFs0
iVg5WaCXyzqUXeJhCVBcWCzZK0RXF49C5/u0xOsUz15yt51QWU6b1ZZBJcqWuyaDQu4CXdiNARHZ
g4a/KCiMKf4+TJwZRbN8V7jiZQZcEMAay/OetHZXkvlNaQt6XPq5NJAJZbtqzvLV9E2Wv4VYMmeb
MBUnUi3nlg37fB7Hty5r2nis3SUFvwJNTZPuzJSJW7+kM4S3Gbg/dzHpdVwt0KayVG+Wybeg++Ly
FJqmfoN/aWHY0LQaX64Qvky7Rs3xCEcaUcjZOJRlj6GAI7fqf9g7sy5JcS1L/yLdBQKBeGWwyc1n
D/fweGF5RGQwCJAEAgn9+tqWVbe6b/XqXl3vlW+ZkW5mbmg4Z+9vn6DTEYzgy+a792Sgf+TQmTu/
SJh4onnwrU6LcTWfOAov4yankzAdCp4uKp0fYVDuKrlTKggPs/ZPbTPC8KLiXQWkK9eZSByp219J
NyX3Y+LrJ5tJeAKBQ520rpAyoroU+yqO8OL/7lEeaR9BcNo21NRhPUA52tor4Kr5nhtLq5TFwTmV
XXeYHCTulTRt4RfNf3Yr3Y7jxrqfHKrrxc37XinNyEuDOgISevNXDTPukRHzykznXif0NcdAjXBE
O9WdJpEkIAGCJI/kjltnYuvBcBafcS60hxnC/qEZWVywlmTHLYGYzsR4NiBMyhpnRy6AGUxF7bqf
MoplscGjr5pmhuF+qy+lhBizTObWXcBDYME2VCGBj8ipewvZFOTzIN7JUJ+9n2w+LkrnzJAPttdB
HgnXX1rNYC2ouPsTrWz+sfq06EOT98Kio102DYV+3QNxHTex3iWJwY5fZ67LKPYEl3AyRfkGFpTl
En1UU879hmZpHx05URGsLzs4yPR1AG/ylAQU/oVG9/SgOE0Okex4VUPyXopwWPu3BZphYYIQykDX
S3qZ1mYeiz0yeDcsLAFUxZpf66CjIqi37am3Iiy2DcuiybYhzLlz+2+tcKhWDTSvy2q66USN3W12
NFhariB7ErhC49OKXC7W/Am1tmjtba0OiVvX9s/eLxn2ms20hzGhlX2gnC0ocbFaaN7GIFjCDf1m
O2Xj0XZcFa0m0EqoxG8mLDiTPjmmrcQp4SwtAAiQikXbmkfKN3mgdFTVmR+OuoEXSTl8OCi172iU
3cPQky9sqQ/qO7Sig5DVqM3FEB0/9AEV5TzAI51I97te+Fx2VHXv49wPMked0t3TeYcgOK4+Kn04
hk96rL/pgQqeAx7Nrioe5CXMzAE14HbdoB29ANsiryJe0i86sq5sRKYhOWVzn8MZxja2jtKqltMN
S9iD+6TeJeRUs5SNMeZhANdS4XWmgyTBfpxvuxYuU/I8+i061BquLgFncUyH7Wlo467q9uVkweTS
vAZcg7vE83yvk+nZRvsnmDB2ircx+zXT5Tl1cWtRn6PCj7j5nuz9mHdBADkt2s4xWIYSRmIU5SZU
5k8t47jqiSF3O2hf6KprWE6BzyqYuV2+N7w51HGI84DvDx0ctkdPgu1+77IeWuGalt3kKCTfHlsr
pSjgY9pAzY7h1ljKi6zvV5So83EnEKXhG91nK04tH6HPzWiGlWjcdDYiZpB7Zui7oX1ZOaplwaWo
ZDyKHL9bdtLOHcmuYfIGG1in0AU5RP/x164gmAYkMsUaQpVSC1SDfpRDDZGcor7t+qxEy7KXGqY9
WAh9zkjW5DNRf5xOv41dKiuf2fUQLKor7J75gsSxrNrJtQfIh+5ChP69CX8/oI26C90w5N4yXQw0
nR4pKpMrmi1ZTcHeH2xngrMHgQXrMc1yreDAbdPUFbwRQ044fucVhFJOR4HzTic/vIeJNfE0rFph
flApxB1TdZ2HO/S3OrJ7rvY+vGINAKTp4rawQvxZkyE7OFAYjcKrCp/hLOt3Vt9D+K4pIBkc/ZAV
fo4KXEcwmPmpFrQu2i1cHmzMN1zuFFhT0HzKkP1Rmf4rNt1wGBgKhs3FHzAr22IUi34fOF7Kz/Gc
o9E3f+Y1ptDke1HGOETzdLHtk2RD/5xRqc4Bp/66CYOvIRU/1rEOShymEqd2t33wXeLCMNFr1yWA
hBq35r3jONeTbvhJJ0OLke7yvMZjcui3FO1eRqbD0vvxCh4TNsTu42KL9p9Liz5/o0kK2gqfwbZC
VEGm+fsSUA99e5H4Qj0A+bwF5jDhC1P4+JsR/Se2vTD3xk78TacMPwtz4hXG7DkZnAXqmDXP6zLY
J2bq/jPtk1eWJPA+h+YhpnI5RStvoAK3varYUuOLbrs2/pYxYcH0JHO+G17FHspnAdMUQvq62b30
etzzLtmysGgk/c0mN7Fyx3POqQrl4xZ6c4JUlZ5Sx/gPK5bgcw3cr17V5tEHERyjbWu3E/iq6JGN
yVaF8H0nnKzKANlr9yKjW9bmNRwTp4LxRfOMvVggNkGBU5OgxABSX7B4Gf4sM/IEt43a4JmCNL2J
b3NyVCpk2DLwLeRpXjK/FivFNb83Ecz3Hb6qCa4gy/vvCzy2n1OjL4Nta1/2sm0K3US/B2gMr1PS
0V9h05Ox8JhPIaAprO6srJyhPIi2X0vHdvcrGDi8dbkur97O+lzj8LzfAIIdsyl58sl0B+3UpOWG
68CdQuJ7LOdkS3/XkNCKli7pY2ZY98HUHN+Ha8fKebRDxbpIFUoqP5SzTkfQDpF8maMYneOOr+LB
CcpbKDKwj2BDr5BsgBuO5eaW/XHi3XBswhkOQWrNIQSeXCl8riOgFnLsWV+PR50O3QdOM/GBK279
PlgXvIre1MAj0+4cMIuKt9bJRU8b6fOOLDX0j8QO7w3t+v1uI/sI06udLxmh2BBtYCFwd0N2oXre
inZ0ochdPCnwMk1QAQCbn4135iOADPabKbud+CKzO9n35jFu2vmbjNgMxmyRvSkjDRVpZDcyu9X+
PZvNKHu0D4t9a4DpZwX6pDUrfaaimwmm9q2CpGXEHcxWgGO8HpJvtuY++d6A6fblxh1uVr7GGTbi
7EwOwBC4UCzi5CGJRPu5pTYhKFbW18FP4J+XdiL3w+S6zxr+zGGuObzQ0bvhvK5TUELea3gex4Lw
fBnt+BHUDj4K/tcThFp3mcfsFVLPhCJMrz+ncZI3g6o/JMY3d/OEknSYNm1yM27jG1T2FmRFSo+W
j+Lay0Uf9tG0pWygWCnihyVns2IHG072eYjZPJfM12PebyB7tj5cr+PkIcrTfjqtKXAEqqJ6f+Hg
HuWja1rHwBu4QINR5Yj2olgYVZvt0KzXlcLp/Y1ys+NrA/JC2/hVmiYRAGnXXfJ0Xk591o4Z4g77
5u8GF5MiWfqwGryaZjiMLc5RxwfYkksSnUybsA/Ku3GFA9mo9DSDegl/IoZXlwHp6+babVuncyzh
GSwEb2yZ0HVThSCpxeljZnndDFGnFcLfi9MGvUCoydGzpC03s5OLtrM6z1iT5Wqi7qp6BhCYrumf
cZbxr2ASsc9nCHj90Y3qbRFZ3X3C+F6LMc7svcF+hC3jPSuThfO/JFfNKVnHm/BjWlLobk7ffW+D
qktwOlfZMogDkgj+K0BhfWd3dRMihweZquAo8bIXT7V5VmBqv7cuHl+sDdnFq84WdIxVydoQunbY
jlHViMWADa1RHWixHB0YmWKee/kALgbBAHzGb+AMx8o4lxV+CvuqwV2H4lzv8BtmU61DeiZq2kqJ
xv3FNF12mEVAvxgItNMoZpXXAicTyF8Ok0W2x66BQzZLxq9RNyZ4vEtrfw4Z2Y7g3R4j12a/A2Ap
Gz5JPpuAForS/aTDQaOUWpurQEvrcsRCbIV1ow8qc6zSu0B/g0UJG6XvIH7WEJezAdd47Yj4AcdL
5TJLxxMBDV0Si5tkstDycw6isCAB2WEWR9FB1vEIlzAljyby+4uy7Wl1AsyXAArKmimC229BeQ17
2/6lVBLfg1IE8aN0c4ILhL274OBfVV/sQzsUfgYcPguz4dKx+3Nrguxhc42o+qlLTiLpWEWHAAfm
IuWlC8InzkeovQtQ2GJVzdeSTn05yd0IFHaaPwii58KNgajCAUxNP2TRZ5OFaR7ZBfjh2LXjJ1HL
p45S2FcbP8bMhUEu1fY7cLhYeRf48z7OIP7QeHbAFcwK+KAZil1EUB/SJikTP3whKtxWG55WTif3
HebUXdvwcvf699QP35ceBPZA10BWK8gnmbsoqhIeUHjFWX3pO8TVxOLqfGyCpEDNHAYFmVw/VDPF
ndfETl9l0k9YLUsKOk2kBZ3j7jo0jXiC/hAE5Rq7lVebCraHxaDe7gOolPom/zi+qHOm9VB5u/lT
0/PgLzuhRetNv53G2KylJZo+9yaFIqDmX6Z15pKOXZ8HXKQX6Fpl2+7qzFUCVpIScYENsj170TaH
ptM/0a+hFNunbi9j34/naVWbAIm27B+bAakGvec+isb6HaXUWwcLokhnk961SWQL7TwKRzi4tfV6
yduVzABy1x9ZqO9tuEd529P3ieDI67c4Pqhk5oVlEf9oXTjmkZ6nMgv4VsDBZm9eCpYzL+jdtLfX
jkyfRqXLaV/a1zkJ/wAwRv23ozqaGjW9tpJ+grAdztE2xb8XBjQ4aOaoVGR8d4hr/FFqJGDeAKgb
ZMUsim+nVuBhCTyg3QRNLpseERvF6x8bDJUth0A+Q6DY7YsOQy/zgdc1ZCdjLUwaIIgo/scQPY5j
R5A42Qvyjwx4cMRkckMDUjjNc2vgG2IPJIGYL3RCKem7xqHVqUs8KpXei56pxy2JUViHgsicetEB
FqF+mKqND+FSrUGrHhCa5DB+FP5ITPwPbehL3EscHrxrL5kKxGVnuFzDyP6qhVpBERLRVC5Z4zyF
K1WywV18lwps9fB9xpVUDKFR+UpvWqCammLP1jRHog+ANDOo8rqQHSlc0KJZKI6ExM2bPfUSdN2m
fwBOuTgs+GLoVHAWDbmvswW1zsB01ev0osLNHGwk0ioVyXBRDPKfzoKlAIijC1SmtKhjfZ2b7Tnr
F/CDHVZ8vbMqc9OzjtVUQphJz1MMJyIlpj2id4GA6EfyaGn80YXxcgdaSJV2TjrgdtF0bAPVVJ0c
w5Pr0ZzNbF3Ok2kCKBcGxqJgv5Wts+eVBJDhaguhX+4/BMItBTVghuB+dHlvop+gycNXy5koE7fb
uehXaf9iS7q94uxDKCJhcwFMaL3MGmJUEPZAIEl8PwD3hs7SdbSaAyFAaEz3sRmWovZRvJaAU7O1
SpsQfG+PrOtF434MMy8PotvV14JAzyfjcTSWgnj/S9AWzD0sTfIlk3F+TIOBnHpceHOOMSAObmY/
X1OBFinNeI9AY9dcZhLDWRv3/SfqLGytRo1fXR/yR2mj+t6bdv1FuuRPM4e7AvpOlouGDP3sXVwX
rEvtVKgusN+4Y+sTpW3sH2YH5Dy36SiPUEHHNs9MpErkR5NDKLswLZHIcKWi3TQXnd/VoVMI0sRB
TR7CbgaVz3AZnLp6e9sb9g0VAnvVoOoPjd7NCftgr5J5CdFc8XfLE5zw7URfm2BQxdJGjzxc6q/R
AYLt4YcXmK9FgbehSSd3lqKouQ4TpFVttha5h8y4Q5PMsgBanayXeML5kycmUP2xqa27iUQD0GNo
YahpRnAQE5oblHdWKlakiZzfZxXrO605BxUBEj7I1wAa3676uthxLnwm0mXRg+1Y8LbhBZKS69WD
20K2Bdu4hmgEgbrNG8TJ7qNVrdcUqweZGGXN0eqpu3ql1FziwspyM68NKqbdmjyk5mYZm1slhFPm
cxRJ+iOeW46tvfbmpDiwVU2cRtHKESTLmxsjB3rQvbJVGYhPgVBJjjaM40kgsjLQpfnN2qZvyqmp
G1dCU9tfYI47UUTYaJXXDgGQdEHj7SiuaJSgoyq3SP2xKK8rWATPO0FZj9BWcEG+wAD5W+2x6Wr9
7JqNfvQ9KvASmMmIfp2FT4uWALMRYeEvCwIkqHjnRj6Bet8+SNytl6jV0GVGn/H7eSfmQygSPASj
3Y9U8TBD87pEzwtS6y8ZoHTgamGd3RHS0p87GPmLWfj2SmkEMdTRFbtUTjhW85HxiaJmbNsbdNBj
U9oYN9ZqoQrm0Zw1/QMUfoP7BPjMcNeHdGcHk1iGJz0CjjRz05dOLE++WeIedJ4CBQ0Z6i3waXNB
GFUUEwK2f0DLh8goLCjUfIIUFZSO+aHNsq7Jm77TH2vC5MES3LqNjHGZYUmVaHa6KmiW/gikHWAL
pNG7uXbpebOBqRCOElcVThMAzjQMrtJL+w1cgXE4ZbuxbImNC8CENY4TQ54VYikPbLf8NLZhUy2b
V0e7BHERKYFVQmZr7vkwRt+h3oLrlFa9BajvrrPU9rAaVP+QM1OoNKRFkLXfCp414ODhZcBnX8b7
1WS/yBaGAPzG+pS0zJRk9+F9tmFrRD1t4WxGZ9mG/GlyiTvbnW2XhKTgGJIaqDdoDCyaLAWdZObL
0mbrPZlTcQVN9hOhwrDakLs89Hz/ahAIK2gs0BnwHrJiCKqo1PP+TmCqHtI5bCtFfVQRLPRjuyHt
ss07PSMPDM1GimmnENo8YAaHHA0g3dwwiVo28PNnN8SghkzrT/vsEoTuwmV94qmEDhwCzi6R0tqG
F8fartxbXDbwuCUYML+JKwCE0jLYN9BYQ1Qasj2Egvs8k/6BCY//HtTPS+T2R2sm6MCbeM8W+j1q
cFgzMlVdDFQMSslXNiGbkjUwPCwS+OVChqCcUiIPNBTxycbjMW76F88VWgUkcItsDXzeNP4xarso
H3r9oRbdPyXNeqoJPaGwMscN/MgP4mCD0Ih8v6HJSGaiQnaadEe14aJ2fP0as14/A0d6XiUd9jyQ
HFd7eGsE24E88ijbizqg7VlPwKUQ0vgdk3S9l3Sa8xnnf97BBoPQk8XfgbuswHnddVPKnedBf/yP
bf1/H8r+v9vWwQ0j/8/U/f+Brb/9dRuct/z1179a13//1D9HeGCIFwMODqsZOd3/tK2z4B9RyCIo
BJg6EMG1Rsj8f9nWCQYXJpjdcZvkHt5yyP9hW0fxPzA0L8kyFAgMKwDDE/4btjXmWP6rax1zWIPg
5eMgjBLMuPivgfp0nyPSWjadCYCUENhkWjdwTGtioR+YEZZ7HiYptVcDZ7e4dc9luLjomDZ1etJj
3EFXrJexoixFogtky5sT6PKSLpjKpoHsV9g5qkbww98xz0Hrco9Y9AWgLTxTFQzFmiE7otsGvBmi
IuukzHmLlubIMGKkTLjQKNMETEKQScd9g8OMMHQsc5+55cBaPQLX5VC4+11+j5XmX9O8jGdk1/wh
6JLDuqRpGZgtKLa+ax5DCE+nae+GN9pGG7rIJTYg6mkiv7cham+6EX9BUidrS3C5yc+apwo7dVSD
zkeAyvcSJNU3yHr86nofvKx2puU0pM/wQ7L7oI90ycem+TG0C4quSGwnnyK7JDpd53UfzHBw6ulk
uxjgT7Q/SyXT8zzR6ZAQhL38uoWP0y3IMgHXl048EV6TPK2pgNhveTWAo4Y5oNkrkOKpsjoOisDH
8TXr3XJeF09wAMF4j0VLLsMygYeh2oOM6T1S2WBWddKmbaU5gQRp7foWdgqQe8jSawNd7hircDxQ
HTG86uKf1UaX+7RDGkus9A0zBtyvXaxJtVhUYHUqFrSeNV5oT4Dmr9KVRLn9Je769OeKKlhN+w/U
LcsxVFF/WreGHiOa1e8b7+Sh7+vkN/LyYr+Hpd3fNwwmzsCVQ3HjgFfzG+YDKoojOTfPB52ghtwD
6K4c0MMN8AdxjmzzTz5P9k8DS+bggwm8p67HqcK+iZ/j3S7Dde/Vt3YNe5THcv8iuH2QxvAsuCdS
bHecoPWXY4CH3GWtqlTDF7RwNWBdLwBnBsn0GIWbvB9s+K11RJmcRLE+8VWKZyc1ufAp2h4R3coQ
xOsSAExDjJKmC8mYnlYCfvUwL7it4JbHAnms1dlL0vlDP0GSz72bo0MbK17QUAPU1JKOp30FP3hz
J8DYIZ6Nfo+u0LOsh47Qa+AQSwjX21E/PhHCThkDXdGi+LufE/qFgQlpfdXR4No7FQ4fCfS3l1Ey
EMeIkpyXbo1rehxM1Is03xA9yH6Bl9Vd1dS7f/RQu5+WFbj3r2yKan+NpxXOk1m/MXWDbPnaIr84
iPQN0ZC+QpgRxccwZRcrU7AnWQ3epVRtol4UQMHe3qi65qRQks3f6ACrG9VnICZIsVOSyvQyoXhc
SDmyngaPOCjxvY+b8uDwYTXMlWzq4BP8AlDRQJHmQe/pmH5g0gkkcfB9e/g8ObCDv3uENdEJ+Qx+
VZa3YUziKljlK1YuLGiejYiLZsh4ICqzoe/NA5P1P1OUrOTEpy1AaFoOmE4g+bqKcltnoH61a9f4
3jZj9j5Co/wSN80fauMeNucQYtiWT0DsniaTxr+ByhtxBCe+qVO66xQJC9LB3TBhXSPTyATe0g8N
aozRBeEbEudyRIBtaKDrWNUdcfbhHf89wo7wy9iWY9P1MPy7bJKPKd8pZIl91W1k7sRgWQAeYSN5
k7q0qQLAi4/uRu3DPMe/IlfR5zPDd1wkYb2/DZbTO7gUNwwOPktwM5/tscc4p/spi/VZdGBHY8dq
REWQTYJ+E6XHNaTtcUqhwsl2Fk8THa7+b7FuDpm8upaBsVEqPUhr4jYfbvPHQLd0SiPxgfCp6RN6
gdR9RJXV3/Zqj/OrSboK7UVEDsGN30HGoa8SCMFhEVmoxQmZpoe0XeUL39LkwSR6+4SvQvecRtnd
HnEUWnoOS+HiBraL8Uvu/QrRdFz8/kvv+ifuqBnmQwzAPa1J0W1dwHMa6OC18WF9cEHPv7G4WUBK
kRqXwzSchyZdHqXhBFQnkjTbFNS/PE3Y017DskiT5oyjsz6NeKnvqPi7chkz/rmF2sncwDQ79Uy7
u9TfgC1Ged5oJ0qFRuZHizj4hWm5PcSNOxgyQVsF39kXBkqXgtMQwU7fa/+UwPuGr5sdF3TF3zxy
9ec92dZjOE/+yOCA6LwPLQL8CwHSNMj2MY0z1pezo/yui3DEZzRipZqjKbd4/1eHITE5RSIpb2jd
Pqm9scXmW1HFfdYcE/wCB/jfG3RUG7c4Gn38PYJ8d1NUM/W1IV5/j6R5+Ne2UnnA+KmoEmEdnpJF
Rx/E4f1oJpsS6HNz6DuFoMpkhgeB/M77in14v86wkhkLsysM66nw7dRfBYKbRx212wPCWYin0SE5
DX77oTmkU8xvaD9quQYPdR1iVgXiXKgERj/kK5dBIccoeFhcC2ilw85/Ypg7ccxoMn/xdIKJmiCV
5bx5xqAxN+bxyJPzmC3Zs0hafxf2Qv60S6NhqYzIse+A88B8f9QziF/EZSCDTchxEbJHFcZ6zBwc
O/nupjqo0AorxF274C4C6DPcbn99GyWhyjhs0XYiT/2N0BV9JaLYy5LHqasyYiVgHpdkhWYB+IWM
3yY2NBQRX8wtSBOoWUkIWg77nvsIo63WGVExRGzZF72NAQGRgSkmadBjmMU8C+TMpi3Z2/Q1mnve
4MprRsRNgfDsqnv+n/r+/6u+D1Ff/7/q+9e//76T4msGNjd9/UuR/+8/+s9cKuYw4qVSRFNv9fqt
afgPPJVH/8AgIXZjQlPM6Lv9yT/LfPYPTJAKcWFFt/F5LAW4+s8yH5OaEfFit7k+IUPO9b9V5rPs
v8CpcQaUngVxitdMohCjIP8VTl2xvCdIbPLktjS0VdYKiP6gTrJjO2lwWRNqjWKCJ/GcdRHqFWiD
3YNNnCy3AVVYOUdr+NbXXfTx9wAemdDpFQGV+kcWY3iO8pHF5Wc9O+EkGsHV4Du668gmy1RM0hXW
iWQsDXHQeNoIJfyVD6R9EKEkKPsw6euC1MigKw15Bn7jvtsQQw6S1iF10k9/lhEsFSr/PT4IssSP
bdi7J9HW8S30A4Ih0AQzhur9BpwkDM4TiVq0zShnQFxiNM09JXOtCkMR1V/HKLpYz6Nz5tCkVA4C
2Gcw4kOVwLnMX3gXTDqa4wk4Rr1OS5RzBT4fLzzsVbaz6OxqVCcFBDbAR8hGsBNumiytIh+Mfzo8
8BPDuI2nZELqDChGV//2CdM6F6FdPpQnt1wUPtlHrNjyMdlAvGQicE+AD9tHu9bTG+a6yEezzNt+
57RrGKaIUFhtdZuiOh3A4tZFEGoZ5L5V/Bkm317pROGL7FFxIE8RIQqSY4hG+oxZD+pH2HD+VA8S
hxPkgiAsawyqgLw2WHlIOTKDzKdnp0b1KEKdPTH8vTLttcctcwJ2qw4YiZMh09npo29be73Nxjm4
dsNgjo5N8jUMNX8mMVZLL5DEy3bOTmPYwNKr5/CtliI+dzueDhm6+OzWVD6KWW/k1ccjZOS0R7ey
4H7Tg1hjCIKULSdwrga/cxgdoqnTP60f9ecMheRDBai1isxrlsDSxPwjlNm8wkBMJBw4eoBnp1BF
Y7Ze9koRzH92kQeVkLmZgHDYoh+o0XBUY+UxCnSY2C+OKh+lGG4rpaK0OYDBbC6xg8d5qlNtPOiE
ne7Hrl7JlWJCAtINsNwqpIb51AJ+zXpzbplgFt6qWl9SBHHEFTJX9qQ4htTl4Zwk36Zwj+/bhQQI
IUZDTIKcIzLlGQq02UfHxu0B8tek763CsAJ8EfNpZ53knxo535yYzOqiVUlU4/nckjgIna/6ZiFz
foAp4ClkJzkTUIyJWoMzRqbt3QcwhMxcGP6ZwcbR4DvaevIKZRu2iajv03Hc7rrNLB9ooR/qLGqu
wzp22a8ec0igvdFolDG5NGOAcjaF0/sNQ0C7A8wCWL4Y2VDV8y4OAS6n3GCe4Vn7xr53Bk0ayVp5
v/StrhZlXvo1hMw7KJrkaU9DngusofckqZvkhO1N3qYmqo9ynv2crywaVQHBQZWIOSPKKFxzIOZv
WXzCZzjtCMqvtzFAa7nD1b8jII7OqBwAS2XTi/T8avqlPiNFvBQZl+5iux7ejeuGKjbtrb1yR0ti
8pt5nDRDPaNb9EfHw/64dzTMd2XSh2V3r6gumzJt7BGlK3sP5xmhXEA9OWZUyEfowi/gIgEdzZhC
RJZ/Y+9MluM20i76Kv8LwAEgE9MWqJmsIlmkKEobBEVJmGcgMTz9fyDZ3ZLstqP37YXCoSBFVhWQ
+IZ7z11nBbKJfJWHyGtqGyVkCecitcobnUXHl3R2Ljh7wg9Nm42HaWxyhFDYelOoNiyvkVfIvFP3
xhCKXVPBuxqTeN5Le7kkjTvvc6n3QRx3+W42MiTWGt9l4F7DVNVW9YaB54cqxK6Dz/luqVuka1mI
8CAGrSSqdt+EZbtLbQ0sSxuOd3aX41brqk8ep+2+TACMJMBudlBlaTpD5OiVYcKwq6okwHysndIi
MW6Qpip/cKKPVWKiTDViiDDOXG5MD3dm3lft+zFtxoNeRP27lAqQC2PU9lE7fR1aO98zvJ63fTsa
Twps4keRWZhHpzCWRzuVBdYEqKvHwa7G7CAKad2UTYK1y2shdtVRxbh0yOSJSUgeTJrmPAyIbfbJ
wqMpLQCV9JYsuCrsxcEP1ZSljw4zSbduk/RXr2vCZ6+xuGWtItzy7I0vVGXNpxJOAKaEKcleaicv
dgb4J1anprsrut7bV4uCPjSG+nt0k9q2xyUdVFC8LqVrVje4q9pDIQr3Ac1xee7sSbvr3OjZiRpK
SsNrhl3ULfalNUNj8oepz+gFpjS69bLC9dg0rcrQPhmcIDMRPvoNE4GNHBEBWv0qPjcNzKP46fyl
iKfWR6OS7J2KDbZTO9lJayMkbHU0sF0atOe+1rv3XHHwUZIBkI4u2qsdptUDVbEOqjYrN27POz3k
XAZy3OmT2WFTj+XBNLErMgHTjm3opF9EJ4svQ9FCZIpFsQRIBkZAV8A0TxTJiHDTuUHlYyXGuyoe
1BWfsfuZIXa0RR3q3jah+VHzMPEzt3uxTUYh2lzqQSetd6W0NJRCXcYsnO28MjjnlrkJ30Wt3E8i
/RjawxtNvbVfKtn72KxVIJL5ZVazt+nzytw4TvvaFDlCWcHWOp6ybWuY9RdGkApfvlZtTJcRkzIx
swfmAv1msUMDGhZDhKwbs4fSsC9EdZa3xcIAo+hNFLVmpJI+GON2xOGPmRhzLuCouug+D2n8NLMM
ctnVoHYTbDqFyg+OwRjNYh4PMmE9XDNrFUqIxsXW0uIV4SmHIjhMXs0se9KYKTK0aXRaQSc5IMJ3
vrRGe2XE9zUEuuC2SRN4mvMBv46+afA0oGDSnZNHU3hb6+v2XzQfqmipd4s3nMYSpkIGBW6ryibb
uJESh3SaCzQT9dGamWKltvEuAVJxm3PNY4qwjZ2BVHNvpowCaj3dtyqvT1U/PcoFUppBZ+bnyoK5
lS6fe+pPWlNmJiiUVJB0C+91WGDDB5ymcCFWSPzKrthNQ8WeT3Pfwsh8YWYVftAbS9wJD7hVgfey
MXquK+utMBFYJMvQbes4qW9QWVU4f80vTjEG1AWfOwa7MSALVsbgR8aDWzNI7CTTyKSJU7wOdryn
YnGuhjbj0Qf0s8NfNd0hxAjv27BiaV5tqrzdJ7F+iecOZ4dTc4kabsSeaAIbZwBKFnX6bmLLel3H
OfuaHfDgO9h5rgODBkTKzFYVlkQ7qlh+T8AI6Sc3nb0892myX4vNxijvEJtG2Fi8G7OuvlpJdGjM
IvdjTb8Lx+5uydmgQgAK2g6BACiyNsfBvXTT08giqzb6O5r/M9VaAroLzwYC8QnB6ZBRAw6IN1Ju
c8vNY7WxRGKF/uRI67ZMaQbtoikDcBk+JlSrw79VLPc467PvkNX/+RH/wY9Iu21jIfzPi51rTFLt
/x27/LX8/GPb9/s3/tH2Gb8RuouIh5UMixzvBzw7gYgu7FodFRt6zHXx83vbB4Gd72AdxI7H/p1T
9HvbJ/nnSCClThTYCf+bzc73lu4HP6J0+U8AseV34PcSK/LoR5Zt00YDulmvOmhOBydyjqtHLzN7
Zr2MRJl3WC9jodQ512oENEP9kkeWdtRH52JWQ54FBUOjTc1D4cFTRXmfD/ozh1/EMzlv0l0lR3ez
DJo4tgb3vpw1Z5fO08hi37nUuUK7Phn32HPaV08UZ4TOZ6GN+7Cvw03fYoYaxtWDrgaXOgrQgz4k
l4L3MWjAp/mc442vayxzwSOM2FIWTOP6vW3QjXnt+FpNSEOsrMXqO2eIMJKvXY7joIBNs3Uq9+II
Kr0EWEUdlV+9rETCpjgELEQuybCTZsbSYbkHsnOjRyvSItX8KU5eKQA5VZrlzeqzU66Mt8qxX5q5
22EVyYO2iMX7sFnhAJgSRh32bwV2CfGmezF68cJQ7dWBoLjTo/Gqt9l5fQf6AgSpzPKv6UqF6yKc
DyLn4SKKMcMChIlTjeopEuPVZUkf4NiK2N56b2PITHB9SkfRDMbMrI5LvrKWx443RteBCiUnMx5M
6E/Tkx3P17GWL7HIThBUXtsmfaXBYJ4qWtu3ZUf9m52QWWAlm+9lzmeF4WvXeEgzNJmdFomVb+pj
5k0mU2mz4o0yY6qD0GqhbdJ8bpMMUN1AQ3/To/jfRtr6XsbFK8A5cKYANvweykSw/ixcbjO2pOUe
scN9b457iCU3HMxFoCn9pnYqLVBZ/FXkfJllJOcsm27ozKyDC3zQR4PZwFmYn5ewB1DS2/km8YS2
wS0/MhKHA4FvaLltrRQf+vLcSp52sTU94dffTHPJUCNu+01YJa+lGr0tlIM3t1pulBmt/BxccVnj
vCST/sltxJ03JiAFRgNwRH9YrKHFQqSe6C8PSVL3XKjiANgx9jXdBfPTqx6F93JjVzM63ZHP02PU
cvIcrgSqrR5zbCH8utOfy8h48wQqoWJiP99H+clw1FPTDk9yyr8WejoHOs9UfOzTkwiN2IePWe9y
s4Lba2txYBhJgmuD990o7Qv5Dy9VUyJ3l9altqSzgxf/JHidfgxEhOrEfklgPBxge4LJNqYLgqL6
YxrS9jppPG9aLVQPAgLeJp8iZFGNpF/w0PY2zqxOTWUpYGXIFCelaXdZPOdbMAAQF7R63ulxrk5F
zIbF1HJB8nn3cVatfWu4WR1x1VRJIzdQG+p0A/RaMO9ZxtfQoSH1o5pJL7uGpnxG+vyMW9FGxi47
L/ELM8ElE15kmX1kE0qzMuXbCUgfpq9kU/cztAIYrMaGBtrGLgHC6ORWPXIfB2yVFt+XFf4rmrnn
SjOioBssC5+c9TqVc/tWliZrKy2NtzkkMRe3oF+v2rdildHjIArvIWL11OFc/rhH3rAmw2dsihrh
sR7YkwkvxMFqyG8R+sPCZdiEFGnAPN07qTvQdkwuujlzXhzNvgxmMx5D1X7VxvZG2hn5mv966PyF
sfwXCDqnOOkS8OlY1IM3Q8f58ymeULQPeDArjHtMeOj8e0Q40yWxmvMSGrb/9z+Nh9KPHvZvP83j
gSbw4UqyGX4ZEyJNH0p7dspDtM7uSgOJcQ6J0RYc6H//kxht/vqTwLKwBDB1HVv+rwPJETWkSMO6
wjuavXohp+F6HLPrmAMBsbY68n/6d/YCsMO/NumvDvyfn4geSZ08wOGQ4exzfnkvI1F6sduxgZ8h
iGDQUk8VVouAle5h1MBSrq8XQPMNy4T4H16u+JPOglR4AXhZRwgCPV+u78cPQSlwxccFE3p5gGsq
MEYVLlsm7P4cFzdplWYH3Zvexm5Su2xU6pSi2t60bGH9Np7fYjvkcl1uhkjx1BVsfT1yHGi1sXyM
NyNcUHhyJgpJybVapWfmk7vCUtepiJ51K6alm+RlYPAVTFXl7S0LE3zE5Bk9IsfD33+wf3EJCQbh
pmWwTLdM85dLyERJX1SmLA9YsXay0u91b7mn72r+4R1dE6f+9GlKVCuUVghrrF+VK95ouEiZ12sV
u8SxA1w6GwmbXyR1fslebUOTce4Rxz3kar7HolY8xGtegVyir43iXF5LlZRRClrO6SbCkQVefXjS
PPsiWrWPXY57C5x1EEUr53oyp5fIYhoIY73eTsmcwA1ru2uZTc9Ty2N/MBN56hMXLDOj4RtGol/Z
7Nh+mYFUb5Hk7ictxUm7PLvRsFt6gEtTLQ7xbB3iGP9nVDBPEvV0kzmMOsxhuWebDGDJ5N/2XO1j
u4KiHYMa6+8/sL84YdhMMKE24GAQMvTLB7agdGsk1u/DwtB9LScmTjZrHdlpozj8/c+iwv7TZ8Ym
RPJpMTP4U1gIyBy4MXIuD1amrgDaTtAw/uHA/HYn/XKXO7aBq3b90yPS4ec7LYkbtL26Xh4qlJC7
LkGzLsPlbT3paeZntsfhKTPlAaPdBWV5vHXK/KRN4XtQPp9cG8KkWTANcvNUHFTKQzz2OJ3quTgb
RvR1sUfBgjLJDrlAr5haYvTRA3a3eWKj+6/fuSCLfMxQ0RGnAQ0fClDfMPAeNx6LFrNFaS28xtwP
E2oS3Uy+WiWXYJNkZ5S+DBWimSyNlAIVs9JkGTVbGuZtSu+vVYmmE9HiP8RsrBiWXz8UPguPeQbn
sGRT/fMbBpy0RxxTlAcDzRDg6SIJkh4wFQ4TXnPMO4AoPGUU4F4Ky66DsGvZPRjFXZ9yLYdZCUqo
HHZjiLK0t41qM8T6y5jWYuPq4MQyZV9W8FyANQQBrplurJaTqGYhAXdrftbN8W3pdD9xksdJUB16
DS+41aZ9FuvPM4UY+L+43ot83Hv1eI0sG2Nwy/Up6xVBYYNc9zRYkYRYMO+w8DfWrTr//YX7FzcJ
z4z1P4PQbtP45T1ite7k/agQb7nlhhIHU8PIryP1AZJw9A+fiGH8nC8DlIYkJp7CHGtgZdD5/XJP
NlLMgo1ceWjNrtwaZKuAy09PIU8qwHdJgPKY8eVMg6RMjikYVC9JlJ8hby7+UIU2WmuvDpJCNVvP
XjD2Q4bHie9+6jKDzAX3LveKjuQNqv2pRItLcMIbzJbrlM+guNeHMZdZJLJXYBBUqUAWkLudm6Hc
pMBWAsrVrepTd9fzkX5rLxc5CdY3fCEIr5PN2D5IMaXu6nDo/Xzp4+PkTvffmqCwZHQ79lkFe2J8
SnoaSRf+RrA0tHrWMj61uD98ljgo6NSTmYFZ0JKTWHXkhjOAEsCov/6PVvA3oVovyHpQO4Mh3Ha9
jbrJwk84PtnR2kBAfud+AgKYN1RLepiepyZzN07NV7ea9dJg4wnKPmxuPWt6A1S2GVmEBGmenBNB
z8KSkEdGLl/SWF1H5CWBwNWlyuKkqfTEaqrx24gbuO/zE03xnrVXCUVyxbxyd9hovCFef4y7sTxl
hnVRndoIs53ZRY571nEJHoOWkBQq+7yXL6yt/ul5bP/F7U2tY1kkRbCCFiuF+cfKI59F2pjSKg6d
M79BLb12Os89RZuFIzzdrPXXt1a76j1j13tUet/u+TImx2HsRr9J+bamgDzRl4i+Mm/jqlY4m7yP
moBopJIN2zAfcDxpNGgZw80IEkUD8faN6BjvXLesSJaI5yJICu+25CwPFkdcTI0zJu3nZyUot/QW
f7atJ0MwRZgGc5fKOqIx5HkYMyQPQMIC/kiHp15xgrZmf22BM6LFzs9qGK7SGpJ9lRNCkrSZ2DTj
clPEIxvrAk0ZJnHfquY3u2Oc2rKWcugODlliXxQPEZrM4UnY0/1azffYHb8/X/83YfuHCRsDrr8n
fh+ZWJRV8hP06/dv+kM57YDvckzKdev7FI1r94/wQ6LfuaBd0mHpkJBO/Fs9zXyNGsPTXYkyeZ3S
/xv6BQ9sxYe5eBi+T+vM/2bGxrDu10enYRJMYOnEEZLo5qx4sR/vrcROZMqFH5+mxnASf6zBB1jp
DFGpcTSynwDPsMlOvUfMIA2Go9CCqqgr15o2EfbQ5tDi3QgDlyv3tCyOBFEHUpjHqK5PD4OQhdwb
qTNrD5mXtu+bUtpWoAitwaWLJx9xg9mp23wsXHzKoTWY/gA4E5ZXNdiIghFZ+t3YLvDAln6lKK3z
hdwR7VYhoIhR3lXhiXCQmqUyLrhPHrvKt2/D6B6vyTYCLgFuu16Nxqz1IU8b0SjNW89Ewdl5hX0e
aYf9Qg3XLofl63QG7NQ5V7rYoGpJHus0nR9IUukvbWQW1yJFQMY+tmLCkboIG8A06fj+7bS+5hbZ
CvzzDYqJaj5Eow35gLiaGyN294QlME6IK3TDVknXYnYxku8e2AJETAsEoewdE8AlpsNEtPkj9byN
xEV+jNRc33Hne5tyEeJ+MNP2iB5EbmLDvI/tpdtYKFG32pzY/lRr+b2g9L6Icrxa+oimNM8xHNeT
E7/ZyP320qlE0DrM4EGTMpeyp+a6HoW87XESnbuhk5cxJqLM74dluNXHbQOD8RLWbfE1VTY43Qwo
eWclbhC1TnclT/fNCsNqg8IuDBj8NBSO/BFby3tParjIHQhidW6d1Ihm1EEQ+pi2nbiiMJhuRO2M
90mnNziN4k+pKeJXDKwjR+10k+vWvGGexcDExG7d8gCEVT0Vj3mbFZg58+7CLi7mKYRaGUrvQ5un
/UXDLB4k3LHvMmDHvoQPe5mTrtjUjGG3hsVvqk0wk6HrRE+LuzKASd3EGZ2WQNGDMk3brQ6f4Abn
mH6a9eFzztdDFZf5g6NwZW3mKfSuTmLVD65JJNbShmnIkndZLnQgPSWD0vaIYar9og3lVTe5oh17
6G/NTErW0KaPvAimJZf9uULd8UG1jpVstb6PT3Llo9aMWhtfCCU3DdFCezSJaAgamFrC6056bJ8V
Dz4HRxjsnKZCae2mQLREuU6sO67BzaTjZBtCrQ/spX/WtHwXd8vVTRhGhM6NVN7EqKh8mcchvWe8
eqf1+bOBEh09jbwajZ5vSc9862rHORZp9TyLdc9mdh8Lp83xjJpAxIrEvEGty7xh/aTmzxrsb2JE
sP4sg/4eEMcUsPkMD9RP2nkkgnUbYqnfpLr8wGHY3ZmQ/HcoeqsgzyLrODedfJa2BmImdTqqYKpz
DX2CnWonJ4ytda8NkCNstoNDpkruNOYRaPvSA+oHi+Gjc1lN45cyhGgGlwVnmiw2xZTSyKJPZh6R
ToHM0u5K+mL+ULtWBF+dt5mpLyIqz54eiilf9sSjmZvVK7lfssk+y1adMJeMx3Ym3mwzGt34MMr+
mYmxhkdqtuAMGXHJDVZ1ctQfy1Rb6UuNgcmZ0cgoituxsi5F636qGFFubXvxnlKBW1WaIJNiNwnv
0QUnd1bcvZasDo8WAHBCQ4xXu8YK7cet3n/sWl6yXsTEEdS5eYNanYg80+KS1mEHqEJ+IyLk9zPH
LtNUzjsCnKsqcDAvLAOTShVyPlNh9LfJPM0fvRnLro/tuXlsWjB0OhPGyC2Lu6qIqViVlw/1fWSF
xlGAYOj2tSmdmioUFm+3pNWxzlRY+Qmi2U1Vl961T52vdaWPQcS2YDfGbj6wDzRAesADdv3aLgti
++BHY2kJKiD1gLLWcD/2twvkv77YzfG3lBJSvtbMkvh7gsmsyv5UlHo88GzRmrdMS2EeIVwddMas
o2mjwnIr2igGYIcMx8GC+LS1HyYe2KhNQ26RbOTSO7a9sl46XMGneCnmDoy7sD71XP24oAc8C4Gh
hY70wbg61yZHybFhVNqeYI+7p2YONQrKtIQw0aBrpp4GZj/kj66WChj0SnP2cYbTCEnXGH+oXZYH
ypQFeQpR/Mp2CzV/4bYpfse5l7eRaLGrOrKmZFsQyh0VIqszq3mlfDTAGC452r8CLCH/UkgTOInq
uvuZYa2+cUC5t/SsZQ0GyxoE+rhpGcDMiOa1afXkA89kGNtjMZw7sRR3IWrorzpbY1yLeSiumKPU
ey3LlwuKqCNT2vxLUQgbVpNnJX6CCmBAvwQWMPJkgp9AHQtOW4jAuFc3pGO5qzuCd5FOLXafBzVb
SOq6/LOWIvY9FYNp4juBcvLAfsl+5jkCWW1aVkHabGpB5Th1iOrHiFkOkdDzliWJJzmMItQtWalA
iTdgEIo51u4ZGCN6RL/VfkBgnl3Iy4wQJ4W9hFXhFcvRG5rss+ybDEZI+ZgDszIxgZfhMTNI4zJQ
VbL2q/rmbmlEAwJ6hOnmm+ClCYs0Pf1cw8z9YOGB/gJHufnoSql2lNMeQpXII75qaqDKsH5X96XF
eeOLrtXepD53d3OLsdkXmtuB1ZlhJTvaWH8EpVMihV7C4ci6XIybNEmJ+QF5kr5v3EQCCqwESjIJ
RdLXJtFc7L7Oj9xzSbpH2Qb2eYbLAYQh9rbCafUPEEpDSZiUjt/EUJq1H3KZXAGf6/tGzE5QwhxK
YeNJdF8iTl3fghMTiMx0bnF2N8Rn9MBEQBxuZjV0GyBuqNfyegkmt5XbRke+Y6dmv7ViLBS+0dXk
XnX9pqMFu801NSBCDVnuTE5aHztH0g8CNif8qYXsQWs4dEYwTGS9ZbNZl9teeoCK67RZvtgUUOcQ
Uwgtov0JipP3zonL4rXC97UTLGJyAOCI4/1ZZcxJRnqxp9RCP3hMHN05e4t0PiqGK4c6RvcfmJG1
gBNllPDJGdsY8IIhnj2UcKCbCoF9FLIUWFFy1A4Rsg9czcuQuYdUsE50s7BRq8/ceFWeAmVTWvXH
SIb9g+X1XhmkkwmFbKGA3Eb6OHAt6R3YDDjPnxluNfi0IeRgj6rS8CXx+vLdvPR2h6Aznm6Gbpj3
CtgDbWELVoLsr+wIyv9eh+j+0pQOUhystnGhAuVq2xHbUVDOvfcge0+/DI6MNpFXOMkGx4J5Z+fU
hq5BbgA6Kqv2rVbJT56Dj8OXVR09g/x20O8Vo4RJpAkDu3GXEKoHswVCi7lsR3MJj2aaq/0i8VAv
tch3g64Pt4YWb2126F9gnwyYugbb+WKnCR521ZWEW2KbfhdZTvjJllWITlYXjAGkB4a2buVwjs0p
O0aUWeSrhpZeM0WLUulHmUw/17rHnLFd/6i1OOdoEeO5Cpv4fR5O+ROwgnivJ5ZGfxAOt209AVI0
MptEK1b6QaRTIxYjK7Gl0Lpd2TYDgBzGZuv+Nnvp2Lq0fhyCXoU/B6luWzPN3SJ2XG4yzahPoy2N
W15hfmvKJHkLl6RnOdb3ByYqahd5ojw2eSQ2JJ2+r1nqD4FhGu1rJBrnXjSN9sUgK+17pPL/uuR/
6JKZvNi0rv9aCf7JYHzXfomq8icFyvdv+b1HNgwY1/iB4Wh4jrDFSr/+A4xtyt+Y+fCktKRHH0y0
1b80KPZvpm16q4+YqPlvYpM/rAdoUBhzSgdPso1hAM/cf9MjczL93CPrFlNMVpempeNEgqX0yywz
64YlGyml7tPME6kXCEPnuG6jzL7zwlri1LSbtmN4Azxrh2UOcYw/qsQOslBV43RphI1lysnwOXZ9
kvXiSpVE6PR7y2UlysKWe8InQi87REupj/d93uif8XSO1AEoX2i2ABQAczAh6iMPr2Izc9W+8qCu
sNdOTwX5hF9FVMLrQC/qftJMQAdslqIToJbGrxDhBVPv5FeLJOA97r1lI7xcv8uypFJEDtgDUkyT
3EVcfjV0Urgx2jtH1z6xnsLLh6Ca1FbPudgxgOhkWdLbCZj/0VHW8HFMB3Mr9RrhA56k+No6bkZv
XU3zvRqW0AMNMhYtfAteMby9BXxk1+Q1rKU4vmnCbIeIkXwB2uVPyaj6d+T3xOnFMidt0yW1c5e0
uhz9OUHdEuT2DIHbiVFCh97kQevS+2R+dKx+hW0QwPUCfLZE6+BB0qVRix4dKUjCgpYZZgFocnVM
7DC+Yfg9vXBuwBmy5aQfYYsppsxE8mFLSAtj5/R2TDoRwMX3QB1a9mdN2oHKU8xMuxKmpGa5NdiU
cHHv3GwEt4QsnksiXRIz9Z2JhgvOQ0fyCaGZ8wciKRr7nldi6mjXVTHRamEMSfRBbDu9xVbJqv8r
7ZXcxhF7GRioLCMi+JRWkwyboYqdh4b5NATumJwfc+4r7GFFe5or1qU69JYHzfLGbQke5hRKpi2Y
ryz781h7jBcQbl0c01gQB8zU+JkfzaSy7RrEEbcyQslx1stBd+oTLeoIqZh4Z0B4W94IWQeFisv6
XqJ1RL+D2lr6mDNmCk26F5R9Q9HJW5Q+az5mXBquu8LSpFjJiLx7gEYjPqvFUM5jgQaYsGNt8urn
vCUzmXlmR30Sk2lKfAxxSIGYJro/GyJ8dUoJ/PFubdwQnws0HoSk5Q6G39ydC+0WyHYE3ghD9KXT
3OSWViG+scNyfDULvLtg7cZhO9eAnI5TNMcWKSArcELLbT0+kBdOueARbobPk9hfIxiXSINPSpDF
royS5D6ZZgPPeaPQcVZtWHBnY6NfN5tz0kOuroYxqBk5qdtlSYZmY2p4OqqYT3NTqwKIn15qLYs1
rfQiTDR6grayGArnDK58hIhs6fs2Y/wfR6i9uOIkxsjUIV8JWVNy0aoqVzuaNqhBFoSFliwOd3wx
0bzvyUttsHfo3RVwZro8eIP2pi1eyT2lQQkKXCZ31qWvRLfs+gbL4S6C2fgyhZVOEToP8dOyoP/e
SwY65Z6/JAYFAi3PTU6i+VE23kTyhWWTrJvkuUlqOSDmdWiN60hUdfsVvco7a7BXfqDVLY8qM7EM
j1lsVEiw52nj1hqzk67TkXak5oMsR+7HUHp04ilVlm9hBweY36T7ZRLuKQUWjBZ41KbpdjJGUuhF
V5J+VbfZ3nXDbpsbUYgTls8KdlO9MOtfpHhA1aOrnRjifMOW3Lyp7JLC2U01b6slNfZjEsSMp3qR
yUYXucnnnME/+QQ1NX1NUeG+Y8SmPsCAV+0WRqTkXpOT2gAZgPNgsPo5Qkogclng5dzacRe1N3yB
HKi+GLGR3WNTnPo2tQtDmw4vDvhx6Vi1jkYxJ3VnwhjCiA/2sA8yN1qtxbViYtCKCvoPZQ/YR6sY
5Lkqa+SDbhnmTwYo2mfiDN5LLmH2ld2EpZrcEvNgu6PzsKrWIWqH86Y34+ZIXrKjb8ulN7d4gQho
WfWEV+Yf8pIX5qBwezqFcR4ZBMDfWux07zaVeGl6FADThHGfPNPF2BhJmLuBYjXb+YNKp+FcwBy6
LLPRMeusmKxVPL+iB2NSIQSyVObzMmMcgF5rEc5LMkx4YnYzuhfpZsbuW5Hwv3rqH+spU1Bh/E09
FSfVz9XUt2/4Y+Og/2YBg0eTpDu4lJHh/quacuVvgFpIHYU5aHsGwt1/V1OUTFQ4ayipg7eBb/u3
kdP9jYe7biBRMW2+HZnKf8FrMX5d5jkUeq5pIQRjKYLg7BdxQzhqEc8Uy8LbSPjOxkyX7BrndXiy
6MMDMWMppMhadozOgeiPU3iCE1p/8Lhd31lMJj9IO+3eM9fv3keTbm5/eCfvv4ssfkxBWVeJP0ov
+O1MnZfPLwj/GfnFz+sQb3Db0Bg9iQdLVq9WLKf7BkLBbWlNmHmaJJ/Z4Osq6Gp8gd/XbP9R3CXM
PwmCVkGZwQrEJufVlmsy7I/LmDA2czKGE5DRUfhSNJBhB+ZU3jnz2mpt6MGcMJbC+i1mcp8m6SXv
jLRNPk5LuXx2hq5Rm3qZxSmCs7LNcMzs+29RUm1T2Q9O7DJpwMBogcgkdcqoBZNIvZYMsVEhpFOB
X1SqrriLyf6sEeqsjzIXM54/GkBoEI5i8KGV1ZhP99hjFJSED4wO15AEeCoLps8bpyMjCyfycI1x
9OzYVBChpfWCOK2o8bw48NaULbHmbWltq23Bgj4NbJERYC8NJ55j1+WlpdTZatgbcbGu+V2zVoTw
gBdBgbXGey3OqBhaIj4LAPdBcYdN/4LlAD02bjbj1hrTcGMDunlPvUt6WKLnxPbp31LF+ADsgyuy
mVEl2s7JQ8epMWsDLmqbzZUnavqgd9SGG/a1+oe80glP5LBtN248edtxEG2yU2JipJRwK13J4oom
P/yWhrbIuH8yKNe2YDXG4cjej8Qp6Dj9dUoGUhQNMaLRwtmi7wojC12/DPsMHDCaFAOAbbSIm3Jq
eU5GUYKUgHnQqhMBxEUQnSYPFplOGmZjCq/Rsl6Qnrjb2LLLe5zR0w5KgLl6EMl0kZjh4PXpDGRJ
j2l3bT+ChGDDtScJk3y52ESkhxsSBS22DUyfRxtX6HUxZ0VcwppSt6x5dS6Bp68xMPHDsqbZeXlN
rl3SVhQXZo/LGUPkjN5dyYkovDUVz13z8ULNnU5UmOEzCDfa+jEemR87VvyFIbm6M75l7CWlU3wx
HQnB1mRM5wOlxPrsGRGJlGClLYFOdo3s4957jCOmrZchSwaGI+zD7fGRsL5kqn1QJTQw5Ko0EfOc
sCTco+4zQLlxmLh+36Z7UycVK6PmNnDVMY9BrljWSj93jdcmrwSG50Salkqad1Tr4WkhGOOY6yIl
2IgxuXc7W2b1urDZGVgyDbQCjtFo/VsZDikeNo8iK0Aqh1qgH9pS21Iozmc1G+UcoFHowdPBY0oe
ZzJd5sOs1k2TFpbYy6uyLUhBGeKo/giGmh1CppVWCfLVAmkZjZl+WBhO38VwBG/beCTwptFF9dpV
jjgaLQHsTBIBv8xZl10N7DUchhTgDMCS8i5dBjwQA7bnQGNiSn29vrY5Dq3HNlwwzzeg/XF+ETD6
vk+wMPptovjtp8hZDk01LYcElt+HLrSqD6MyPVL6LCqYDUIqQampD4TnDPo0fNLTdtDPDJQs/YIC
Vgz4Nuvqte1yD6KHli+7b0f5/7N3ZttxI1mW/ZX6AcTCDNirz+6cKYoU9YJFBSXMg2EyAF/f21wZ
mRIVRXV0v+ZDVWbkCgnucIPh2r3n7CP45gmQZ06KSG7YR3OjH6+ZiS6PRecYKVFnylk0AjuyowKL
muta84s3DK3ZnELYJfxHHnPiZx3BrwFeUVsQiD8xfSpSjEWGV70Mcw9UaG6X7qJusS5KUGDjBv9x
bRCX2YMgdo222cvQLm7mKhkhHmov6KpjjnxHBqV949Y1D1YahcVN6xVwuarYr71NOI/jccJDZYMf
xmFwWcIYhBnFJ2DtlkxtKssKwaQwTQFd6RAPt6m6NvhsjBXJFtycXKzJTtZ5pqE/Q/dM5pDmlgwU
yRRGfY1mXJQbFHP1KqIFQsNtsre56uovHYgOZ1L+cRQi8/YWRuo7YjGcYmOgkx33YRJK2rfA1cEd
1IIpC8AZnKBmfgUcjEhCuCDVJd6zFhHSMNEDTgbvTxKoEaSPjpWAvwGHbZOgCpLXmy7dIqsvooS8
oyGgr7nqZVgcJxk23jacWgp7o+iPAjlnsGIBGQ8575mFryzANWPHrVeWLAN77XPyhSRf25yF5545
1J44xpndb/SzVlNmY+19d3eTjiTsdDjhfwvH/xsSCAWLluH974XjNSbo5H/+jgTyrz/6lyXM+wMN
pVaeQP2zbcqRH0tIB6+Ya3IsRdF/LlH+YoH4fyCKpaqjRebY/DH+1L9MYY7zB/+qhcxFS010UfpP
SsjAfFtDUrsCHKFgRQID7yzQddQPUvQgnyQg9S47TH1IJIRFSC8ha7wA1cYeWzHhd27o0iDeTPwj
CKaYh5Rg4JCJeIcR2lZ+Nu2cZSKCmaS2WB6MorYUuQWo4igUEqd7LVMo+bO2eDNKsq4JgHGPPUgH
8OR2Jp+p05zjmBIQRg4CvbxVTrrKmTR7KZKofqaFgv/aXCKUKhmNrJWiO3JpJbYL32+0rkvk7ziy
2WKIVajtsNnbRZAABcsN/UecqISwlaXzrS17mEIOIku0OUSarfounO7jyYPrlVrTfYts4hjlJbs8
yuugvYmZLden2mvr8OSLoHvtQtN6YGrMw8a02sCuqjXkjTsjNy8m9ux8EHyNRjA+RasdtwdIi9YD
7grvJbARpde1MRycMXE+LgoJZIUr/9A5Zs3Ar+ys69hGJLdqwCk+Zr62eEnc70S2gtdmesww4ZUS
lTtQuTXQ9q5onnlfm4BEnZZ/zZ2s+gK+m/cy8+4HC05o2cGzFJ9WFVzNdGIbEZzuDw0OSKSVLya+
NUEbxSqkdnouMlPjWgoP5sugTOfaZ9Z8UYEJvHYYGl+GY4QMRaXTFfCXkTaGyI9VGvBnArIH0hWW
I7og5VQaPt0Cm//l+w9amHHebmAPi0d70L8wOZ1wYhBKd58wIs3TpdKZ3oB8bSDnJrEQ6Z2BKwgh
xJzxtzQkvjCm6rBjIMMZuC8qM/iMyUTMGshB1wD/bAQxYKkep8OhycvEfGr9znV2RbnAY6cb8C2J
Bu6EOVbicS7UPR50j3DVxKc7EaXR42J3GcIU+KmrAjDrGvyh/VC5LEBm5HrVlix0iGNDtJubmL9p
AcVIlZ1EfDZiQMRjbzoTQiLFPwf9yGqw245fVjh94HyHxSBSo1VRBAFdoSbuWHzkuySbCBUjTW3V
9K8AvTS5rW+s60QRlbYJxMQPXBNeACdZxESH5AhnseFngs50Dha33I4sUR/jQiUua7rH7uHcZdLs
Dmc9K4fPjfs6XVZlHk33jhlXeMJVyYqJmFW+TpOGxREoyG836nUyi6l5HvRPFDq9cyxBVD/D8eYv
66WJF9qzxRZoTAqCc2Q07VrNcwth+/G8hFMj4P5C+72o9cOe6UUa+eOEXHbglig7nm8nGie4QGx8
EQlRkTty+cQjOEhuXF83joPKKWTBDIFZXxSVz/98fiSGAkCen87cvDlB4SlNNo4UecTzErS49Tzd
r/IH33og5Dp6ZJwOGa/hPFWvYCUCBwW4WVCrkElJ7Z7ui8TjWKTSkq9jAqT53iiSJmo69juTBYYR
Ap9mPnJ/IpiBDyOO2f2MrdNeubbpHImdEwhTCnG5QNMkYzudWRJ1Axxghf6BWIQhgIJ+m8kRVqPR
whPZUu2LDXj04OB7LSDgIhOXkOMMAAGJ0eKhI1QHCUMbq93S0WeE6QY6fcVMgQ+0OOxYpV0rKNDd
1FzF2UDAJszGvTPzLBPi5TIMz+nelVbB3+P6pXukZg83Wc+WYZqR9dBDAucOlu5032gCMe7OXD7n
ZiSRkwNbjfrEfggc1rwPYTDahQnnpg+dEJ57mAa2SGfhC09MPPAXCkhpDMUN6D7msjSnuA7IoXOq
krTrMsI5n5lLuh9w2QKRUPxKRRq5L11qszWDJGRNRaHLAp8RWEl884X3YkJ5Z+ZCKfggMT4w1J7J
xWKugx6nNGvWiwWWY0tMXvOsBNypVelL6zolSfqBKAc+T1biRtyOQq+cwCrq+QSHk7/ejqPuNc6h
iKS4RG9DwSVgcYnHNvWs7AIHQXsYrMCU+KVY866NMmJt9nzntS31+se4YF0P6SgeodoBecOHzSVG
Zcn+bpQeKeJ0qNnf2g4WXAE5g/Wos4DWjQwFUZ0LP+T3LS1DRoPuKFAsJS8K2+GYhZ00VpwAVbvl
CGvduj5PV1Eg9qR1we2F47k7P3HlGLqPCtI4Dh3ptQl5H+ysNXBvf49oSD5asACrR4VbOH/yCHBg
3OPqXcoaVbrnYO29iAI7bDbI8s7SvmHkLq8M41H4NLorG0pTv5yjmB1YFIt1DcuLjQw4BU9wSKwP
6BlcSlZyY8/JfGD7wcGMHnSghFgxv6zx0daLuCirDkmZHUSMW9ouFcXdkhVfMzMtghD4gcE8nmid
A7myJT9RZfLUUFuz1/JMQr1mi2E8pGz6o0AJ/de6Kh/r2CIVK5oGTvZzqIC8+g4luRsedS6ONoBU
TMznuLngHRPeWrQbIp5dAhJb6dB1sqz+2uP0d9ENRYyiIE4+poH0CkRv0WdJD9iwa0n2t/DWLflI
ZpDxDDCbsUpDHfp+PnbJ0FwEmWjL6NZMILQI0T8RRLVr4H7vDD8A94SYMSuD+4hxr/kEEBde6Sqo
Sz86WlZdsqtmPOGu7+PeMwdkcmZTbhjQLtU66HpQr750Mywx8F+tMwo21VRYvNnOLq9sOs4B7TxO
jupEDDwgWdKdQPLYVZPMu9mH/cNIxkg5+uKEnbj9ibiA6bHchAwuTx1Z8XdBOslDekbYlsr66Gqq
rWHCt0016TbQzNuCdI4VQeo1hIAMJK7ZENoIKHa4aMmSvwqc2HRWNOynl8Kts49zUH50M1LgLwu6
2HcyJ4TA6DsV0oxqxS4cnfFbhzLyS6JpvZ0SRMqxyDg+I90IoffuZmRDB3Ok7zZPMH/LUON/XRdc
6OB02VXYAg664n75r1kfVrtlUBHv8ZTk0VR95FDXIKgEMxpE6vMIVsPT5OGYlIT7xINOZBXS3hFl
gqG999q7zmT465Mht4UUSXreYD8YiGngYHbdFWEsC6GaDEjJLCtpvBnuPhJEwjcCS2Esuwepe1ur
9gxQ7kpZA7RhnJBD5Vh7CnRwTN1wAp9jnWwETwdP1N0xh/p7WTsLIUIeyucxh9w8+TUcNinDrSFw
zWfsWCtWSH7rymwDu+BkLLl1w0uAiEJ3rHZxaPjHQtOigaeunQqfno32cx/qNwRqSOYlsRjw0/GD
dZDW6DtMRPVhurgiXpizeQnrrKrM+7zNwst6LvqPnJCNy/kMtTZCDbhW1K5f+jP2OuJ8eiJtU+6z
tK8/ZZTvlHcDCFTWt50/wAwKAf05xjXKR3PNmzeAQeXu6IvOu6wmVFfhgH3BOfZpMiQqbegQ5Xps
225n4PzTeYI0ExEDDXtTc709Tfhm8yeDxit4EcUJ/O+KzJcEIrjdE05pNVDC2a2s45y1zgvqVjiz
Ud0xg67tLdV1SyWoaeOz5o73EgJ5JNlR2PlbMBc64sJI7eBgamp5iT5y02mSuacKS9PswPGtGkZV
9Ao7P2y5d71n3o8qL2Abk0WE5jGQy5Tdp8CcmGEx1wUFtHRj/MrmH+/QBsnNoqFl8OGqZh2Te9iS
SATWjDG4wcbUEpgV5oN6NPIOSOyMlNxfpRqMpq0orUalBSSgXKXEXmxSp1ePjU/nYNFwNaExa7DP
ly2eOv4xC9Kdr3FsKgZBt7G+Y9oQClH4sZFqghtJtPElJKrrROPdDJqgF2hosYZBJePlFX1AbWh+
Ego4EjQDEQEyokmdPnVnehwxJqCNDHnGyrFriZ0jMJ2rbWbphnLMwS26iWilUM1qPN10JtVFZ2pd
9C+EHcZtgHbemW4XfEfd2WfuXfwdghd7DHufw6TkrUs0OU3QMCV4exeoyCsvpNnyv+c1JdfG9Mqe
CVtri3brDdSgScsIn0q2oxDxR5d3UyqbYj6RZzzdzzaIMWpRUERSUZYTnNH8ZshwnmD8OOEQlib5
e5g+8K0HaG5+PjuPIk4NFIzFoSJsq6XhOA346HxYCCuoJigDqwYAuT918qV08/le9pwywdtzdqun
9r6s5PqHHsTfjFyst1MPYWEqx9el8aJIZ97OXAxPGsvAjn+AYsIL3zf86b6nmfDYcTiHdmjog4tC
YPrqEkNwZPAebhgstwWMYTbTddc1unqmJH3/g/3ieNcfDKev8P3Q8sGc0tD4qc0wmvgeWpkcYOJR
W8T4PRE3C6XaAPdkyqz6Q5MUoXsk9pXfGutnl5/oJY/3AzJ73WBV4tE0iZZcueeKxuo5gJAZKrax
i8R8h4yBaonwOqovfUqvhEl2GNMOzrl50DKPnWnpvH4/TqQlI95h0ee3am6me3rcmB/HbMH3xRv4
BVsh3jSmMMSuwpKidn3/drwdjdF08WgJ2bRe7IAGzJvh1JBEoMdppMJqFHzKsq6d6WlxQWR9cudl
wcNSCurYuvKKHKRHTtn2/gf4m6VLuhCzTQuzN8Mz+83oUCVYcxcmDwdvEiGI86qLiXgXxAFfE2ae
xBxTomafOmkSA3mJlmrb+F10HVe99RCag3Xt1ppk//6n+pvbIoB3ow3z6YgFb5+nyhmiOsnc+EAE
Ise7iboRb33NaWakrbLuU5uaeSjRCmyMMW6e37/6eQ3+/DhDy8QMxv9xeGOm+/MareaAeMRx4Z7M
BYfozJJzQ60iwzLjB8Gab3D+UqHzkMMUP1r64FZhBs0uRlc2NL19lLgLWOc+Tg697r0Qp1hl3+j9
c/qtNAn3/Q9sa0PZzx/YDxjs+MyTaSHi2f75AyeWIYHqB8beSSDe07dequQUDvqoU008A2z8jF3s
EMJqRRQdyrUyYXHP6bB8mITPMxc7FqcTb4ExkBUu/5VHjv8/BcUcb8/tIceGVrFSLTynSyaoMfg6
7ZtYp0Ez4gobZXtY5pKre3ZO84YMB7TDIQeC1/OX/a+E4XcSBgd0xg/r4hdJ6PVX9T/PdZv/JGP4
/of+6kHDHvNwjgcsk7/oY/8ShQbij8A3bZeZpE9YBovoPzIG7w8TGjV2Rl/rC1hp/+5BuyZOTOFg
w3TMkBDN4B/Byd52oEPtRMYwyXPvwbZ5i5lhlCFH04zrI/pu3dKqYu/GaVVzvZBXsPnh1vzNC1K/
Zn58YvS1ONbDtoDGxizpzRMzdqaxyNCqjuf+xsJ48TobHBpW3IFLKcmwf/96b3c0ruearm2jq3Vt
NpY3W0qL9Qo1msn1aEzwGHHS0/IAjtT95DpHrOa+s2UCbj0o8rAf3r/42+2Bi0OYoX+BwxVL7Nvt
QRpUuXXXVscFJ/trWZS0SgprpBevCyTwUOIxss3ffeW/ucUed4vzK4QbwB5viqK+67NWhUF5bEsL
Ljc8xFdGAWwQIm2n29ik+/b+1/zlgr7FIuVyrF7TAVTz8y6YmSSAcswSh8SIUE2EqP/mhAZRGTrG
ZwcmwO/eE7/c14Aay0d4g53N/ZUpMneWucQkfByIuUGHPPhRZ9/w1qaNFSqXvXEeUus6LCr3GMy5
dS9Hr3qsyMhQujjEhREHXXDfzzZkqhbh77hqmqS7tPBxfmK3/s0qoCR9u+gRLyEPgjPEr8nD7v58
gypiHuKs7DkXcmp3H+ise9FFFxdU1nEtscTL2FInq4b1xRCx96wHnsH53qA0OYAd8/1T2oX0gWey
T2KnowRLfHCqqy6ig1ty3GH+nKDfG02bZvT3mYxtch9k7lHLDUCb4fq2KWOX2V6InPA4kTH5NVpM
iLR4G2Oe7i1kMLcRwbsFGho6Sl9oGTQz0pNlGpG2SDu7aB2adtCSmS6k4ZgLHadrPGVFIqJ72dIg
RTiZSbqEQTcbYDztJbGsr6xS7dIDopZNVzgyRvcOMJi6xA9Hwet7GSQ5qIk0N/RG0M56uIP/Zbo1
VD/dilzSxZ0iSUc8s5vnpaXt6485r9hpHOmLl854a3YdMxUhCX1dEy1CZ81qvZewNad7SmvK3XKM
GNUk/XRvSFqlXg8HMF1IeuCUYFfHio470ZQ9kgbMGNTp55JhcFu+aYOSGMtQxwVFxZjCznLdGg+V
91LoXlm4jNw33ZweBD/aEkrxqOTivZxr/3NVLAlVcXZznXJ8EpM+B3V0SO6/r9Ukizk4JU6qhqs0
n7pXBtecHBhqNs9oWJpu36mR0sHg8JmAt4vS8phLQ5J3iaUgHLAs2cnTuTwPG/bTTZ8PdEbLWY/A
GI+7L7We3yHO4OHX9YigC/TYFCXTBhp8rAygrMaaZJT6oj233nV+4y2s9UZtRl/L73m6m+cJCyr0
JapOuRvPsTwisQD4JwSPMM7jnJMqV9C7jBmpne8/UhqiD4cQJXiO5gpqUtKtJeeC6/O/00dRtS5n
M2PfWJKDwXe9Q6AzbhTyiN0gdRJ1oh8Pv8/JM+i6LIourI6DzHpEFL3J5RQKpinYaxD6AN8cVn0B
hPy6l5juPFxVuT19wLNpEgoc1VM07pivzavIMfgDVZFa5lFZfYB8ImaAmZw6DA0G0wUIbxsZG3N0
32C0gi7LRI+RXzL00aW9iPnZF7Z6HWcDT5bKuiW9VbNhq6eO25/su6oa952dVIoGG5Igg+pvXZs5
jQ8Pwi+ZNw8E2CeaWYX0vxIzupKCzDVJJqQjSZwNEQh52EHX46gOEWfaiz4mUNMvoeQmTcSh0jbm
a9fL/XUXJNanzqTnQevRX/UQDm4MP+nvFYhAUowwTn7u3Vy4rK9OOetYpNMF9ep4cMM6xllt2jX5
J0Q00gBHS9WxbfplShZUmvjXjVnROSCTZr60GFch4Z0MIs+WjDlf1Sz9q4DupDadQVG6YXGLE460
CfcCwjtBqylANUUDmsYISuse5ROUdPlSWUF2nWGJdw9SOWzZnIPZc1pz5Lmfc3IEEot/IAFnYFYW
OqxlOwK6dPANZidqAdIyd4goPSQkxEElAyYFcCaQHkaGXAscw8fzvPA8Fps7UIaopdTLVMMEz2An
M6Clc5YZZvbEWIUH65wiEaGT26eB45DnjZ1jJURUbXiN1g8+vHIQ5tWm42vEO5o8oXfyisUUTwuH
9c9laxgwHRJ3CI/4PDmg0CTrGMkDmIa9w+z/yxKPnr9tK3h2ookuldHEty1jsWMcigcsIPKx6NuX
uaRLzxK0Hgk2GjbZwH3CacY+7zVWehJ1Y38ejAjBPp5PnJ9CBR9sMvmCTTqqo+fAA93AuLbWPJd4
40khCHcCqcANM6MJxJlrP5bIJjf1hK5xNQJk2bizjbfYIPIDlbUTVdcEbbpfCsvh3294Y7UfvUTY
0RcRKtyyUjZRvVvCmswcnG0DuXmM+C/LIh24dSW2+YXm+ac5COtD6lbhDcRTMkL5SvvAQga/nu2o
e8bjTC3S9EgSHJUa6xxp5oNCT9lu4SK5bBYu8VzXbdjNR2A5IRyEmddCWXO4wfVAzPV5YBfpiWvu
LywaObBSupjo3ngy9FIasA9t4qSGOX2eaZJXx56eCf6e8wDR7yHfdIqfZl0UQk/Mh4zPRLgXdNtG
GwmSvGIJTg6qOaYHHHpjO2e/b8f2MJ/TNkYvRhEgQKJciqaA/hfWXDnjZYL3I2CG2zhc3vcIGNgH
M+9xeh/MCKPFfVnmTE9x9DaJhokxXHBuCs3KLJLbXlWkEw+NwooyDOY+OGsB2t7oXisQEehDnJYV
gc4QQUPB+7HDZanwNaW0MWZZM8wuei+gYpg5ouy/fyyrwoa6B+VNJREZBq8v+jH1hSwYB56VAP1I
7VuS7ry1CEyfTzaedHJ1Bz2jvLJ8bJNrsxUI6GzZMHPyUNBvU1ww5VqNC5esACUF9xzCi463hQ83
HxZFEuuOMwENYxAQj+z6pyHvMtwY0ps/REbtPfuJxcY6tygbVNNOaOkKXAq8Mqz4QQWQR9g3C//S
ZejasS8G1oeiNkhTRrb7rW8laTmDggDBZ6bKOc+97UmxLMKi5U0uBa0Sp9VCjLidmFq2SDQXPklK
3wQVMb84ODhe6wMQBV6YzAyrD5H+RbPM4WcaSlZc0fEzGmjBohXuVJqhG69rjHRbhOCXH+Ghu57L
faK0/OA7qTF8IPwNFMw6VUmchPdFHgowqznSEaSxYUxrdzfnqRFbHxEPRnW8n1TvMSOlQ1GYcBVS
EzzDOirKlMRpra3wZ3tfGqBAV4GdmKfcbdGClD1YeCOZERbPcjPR9jsV2dJc8fPLezgayTFHsUHP
X6Qng0YSFlmcQ+4clocYXTx+soCUtUF5fA/pb0haY74UkJo4dxHpWM5dHLKlOzCrd5YZw32FLwc0
cZLHemQCQfiVdV+5bDEryhBs9ECjMcRSkfR+mX8zUtdj4FRHB5LZSyQFRKdseAJJIHSrb/hjvxnF
fCNQPRxZ1xQGgzRvRN+YN4wh0Tma5drv5pJZtye31MYRY5pBzzPMnMzFRG0n1wX92rtXExkDd/za
vJerqTjx5iMdmGhz5DDwS8LShwBQXBFYQZY1t+rGRDjysQF8+9zWtnNdjxhD1gzSKCAnuS9EUW38
8dYprXsqv2prG8r85vmRB+9sxGMHKFdkmH6qQLkMXvDYfPWkzw/iDjzCO89DQbApBxP1IBXB2KwN
3sBwh4ZR7yCJyQ5x1k0EPdrEQdrG0Xdm2Vx1uQ5CLBN2G4xorMhljPjt8R4nIBMgfkAcpOz+zVFc
nzp+OopDfeTAgRsUERwdvzdH42W0M8Ebrzk03rnox8Ngr1rdK3v/ePjL6QfHK0hFehkc+10Obj+f
fhDJ90NWI7z+3vod6Og/SKZyxXe9lA+4mqaZ3g7fv+4vR3+uC8nWg0lMYAInxZ+vy5G8cCBqNIcp
K/yX3iiJCekmZvgKyRB5lmU13/t+wl4sR13lvn91+jZv7y4SQU7FPOB8iLf99hneHDGlfn1Q4EeY
tYat/cBAq76ACsM7q491V4+ePMcSXXkzQP9rPPLfjt3vO3YOTY93tKN07K6+TumfP1uPHEv/sb+M
3Kbzh25qeEzUTJ8mEsv2LyO3Kf4wPcc3XVIBRHCWlP6lGw34Qw7osdCmvg1Yd//u2TnWH1QbFow0
CweSrbtB/8B65L15egmH5vJ0B4k4t/D4vO2VS/xri6K7fcmrLp1f3NollqJygx7mLrO2Sqwc1aps
PqRMckrjWKNw81oMsSB6kXeYe9/o5tfWiQdI8GbjgSvCq3AxQeD6KtuCotJnDrpIxCExbmJqrQKd
3wdGEwspMzr3yW44qwYaGWTOMVvNNsdNnYgbMzX6AL7VMFoOQ4u+beYPTtVGMJzU2GNDcRSw+dXi
kti4bpOaRsUpDTUwKQyMlT2WngbYxwsD3eQSAKxswg+JTTmgMiw8DjYpq3R7xroZ073ugc6Ib23D
zHUK8ymVQb8MnE7GECNjZwLduUCglg/bxZR/Jozqd4Fs5ltSLysiIWeV8Uf92Vg+NxVJqN8xpf99
AH/3AHJ4YzD6vz+AVy9d9/JnMnRf+777qW/+/U/+6xn0xR909xCCB7w6Awus37+fwcD5A6ogzUZ4
rD6UXO0M/E+gBxu/42IPJGMxJMr9388gMAXwhTw6/zEN/pNn8JctHima4A1qgYjl071ptAqMawat
kwbaR/EtqWOxNzgFrNIQadQPd+dvuua/dOj5Lky4wYVCSydw6s2VaGRW7jJZXMkGRwhNgeVaTysV
QZT651fiGux5bkCjMtSf5Ac1etwbCCaavDmQXIZNaDBvOookBFHL4z++ELRI2zU5jPC13s4/x6Cw
BOaW5sAR/Vte5N/Qx33L+M//l8uAJKeLQHf67W+E6GOh9KUIAGwltoSNyVVH85SEA9im//xSvsUQ
EHwz3f63b/y4MUu3TvhGY1S2l5MJTzVCDX/ZMoJ8/0q8et7UFhYTUmja/E74F97aTkE3hDqIsDkk
CjgwtfH9HE/6MPJ41hO8f7Ffyyguhn2UCQZeWk60P68Ig5Bpns0aa5nsIPUCzD9kIYkLNClfzBBV
b+rSTrNm9vf3L/w3i177RnkBB4xY6an9fGFEOAPa7Ir6VKb1hwH54MoTRo6smP/2/qXevEzZJPiO
2EN4VVAx8lT/fKllyIY5rcvmYAyMU8uhmbESIc55/yp/+4V+uApb1o/PFpRpUiPQUB8MMXkXdjs9
jiUg4vOr8f/vSm9unUJ+X0N4ZIEUAy38KXtZ0GUwYf7t4/WLfUWzsbl/Gl0j9JztzfKoo9ILy7op
D81o15uGgUCuoxun20VHiorIhKcpWhAdwvPgUuicwMKBcCDd6oRi1/fXqqbFB4CUYqCu1J9BAuT/
rJ/XRm6kbPm3GUPOkdzw8aoJ8Jy2zaJbIIJUorrhX8EMWG7NHHLawBvjEGCouaPHbT/lAUk9HlDL
z6As5o0qibWJAoqLeq7EntZtuMmDySexZB6gZ+bVFG5GiYIbgmW1HfICHpgdVB96I3NPJli8P2XE
Ls+khM/uW1wlc+sLFXZjtk6CMKm3s1uYX4hepdVJf0k7Ft2XMuJL5yORMrWIGzwtS42qDarQGmsM
QWvWUNDEkA5Jh37UNjtpRtM2k0woMPkZ69Lk2y2abF1mQb8O+speRwGbC3gVtE0+r4AqwBzbJ6gD
1yMj45OLQHBPc7O+sEwylMISeTopU8Y6KEz7KU5G72KKrexzDOn20Vc5Uo8O94n0S/sp4rtrKwSe
gqZ0h4XPxGF0lQQNfGfHmXnWJ99lQGG4bfGIvtS7CI2uvEPt1H+OuDUXSSabG3/IvpkIktcDxuqn
Mky/TZ2KPkDjr9Ek6k/PyEYzRGv6MoXJWYhhH/2vLGWQkE2YAdjRCVcZy3Q/xkQ2UAakpNtz4D+l
MW3hlUvX+Tp2GnGT+eRK+Yawrq064yYOhUcapqHCcHVe9kUXu6fFjMLLxOeW5Sk3IWJuscbjDP9T
NvFDuGizTByk+WexaPOTBIcfeYnuAPXAKNf1orMz08o2myviKRux8ZNo/JREDeIY2xrRbJBiSUvJ
h5t0adBcegoxwT7Qdyq/oQerT3zHGS81O6eJEf3gZhaScZoxDw6+32yNFcGDs08nNl+JJBnr3YCJ
/bIllIJmNFZSuvlT7q0mmxRO4H6A1M3MR1cGsHwDHW8hx4lcvO0CEGffOw3UIK9QTfLYV0AK9kNY
ZS9CwQUWFc8RLGIrXqViLPbnUZQCfvZpaZd87zVDX+yU0drpLmscb9lin84hRHWxGjAY5daXRVD5
27hHjlAzGDgVyus+jlirnyGqeRfndmeJjYK8SiLJTpyjwKi7utfLCN49eUmcf5ZYu05QjaptOxG9
gRz2mx3SlSVExznxQchLjMt5YxAiqjZJ6SfXcY4XbogJFQBcjCLc4dU34OJcJ9g8NvSpow/0oYZ8
k6Bb/lo1JCZXua+NDaCFL/H9fGq6edyj0dRKwYGFsJAecM7h6iIIn1ihCci0ir1o46/90AabpAMp
Ku1DX49fUACnIDx9eztEjX/BqzC4SwYeSqviY5lWMV6NfYsWLuc5d0NY9zbxoE+h1SwXpph2MISK
dbyQMrEma6zLyZjSGvS+YFGzK6KPLBi2VihfbxyKyp00eOrzAX0sQ06kxR2hrQvz10OpetDM+r3b
uHxvu8xecDyAblIZDeqp0zGo2uMXo76E0uicpoEVhe46+qytcWtT552NFV8f6A2PEbBqcdPD/v+z
M9qiXcW0N9eJm4d3lk9KjGsWL57HRtm27B9IaHWM9UQaRdvOG1KZcTIxeQjviJZuLy3AYvADdKU1
iJaGmknEU4aDDKrBUG98xaWhuLQHxtn9mlA+9WfiVcemKhjJA8VgBXO6a9PixiH7bZcoJ+RHIAq7
k7quBo14UVgEnm2UxH60Ki0mELA48TkLWuD+YG3Pu65K0uc+D62vpmK3GvUa8dCvXudRTy62h0yY
OR1TI0Ulga24966z2Nt1boZDpm7ttedo8VsPg2hc/PojUn1xswTMgyYzaCHF0Mgc+IWzVWHSQI95
GzyM+F3WoV9Vp4i+8V03sPcYzPw3SvDQY9nnnot62DmZB+yhGlMiZW3zi7CG/mLUYUd5PUDf6ooD
pJ1xj2NK7EsRE9TapjdO6oyfSKTubuYp6a+ibHlKTUc9hflMWANj5b27WN5hEemyrRJZ3jTkq98W
+XMgyY9NneRbHYPVcfv0I8/zYzua8cEGRAugq5RrTHPNDY1fG/TvTD/ad78YHjBaO+Cld/YzGWlS
PMqKnRcqGiLQErVMalpNvV74SZn66NrCd0knX/gNdpy9wD34UwCm3K3WI8bM4YDkwW33VSJWtpU0
INU7SLTQyQs2M6YmIdxJ2pHl2opNLI1KApsNGxjuVY5qFfKn5LxfNE5arpxY9iaWHSXhzJX2x660
y5OSTnnC185suA4HeXKKDtaYVc52sUF/TnLgxazsCeAqUxbiSHxiNdAs2AqOl5lnibF3UyZiJ4S3
DvNgu4zG8OSOgyY++QOm3TW1eDuAuhVtgI8CbuwKBUT5tSGvFGlDTGY74n34W7MgysKRnrmV3cS+
PodBPqfrHgXQLb0VhMmZO4hhTSRNtu2bpHUxoQwWyNOOMLcQ1XwPAKn4oDKHyWXD8IUKYY5cbcGb
x1OlkxXTxvzihsMBoju6jtkpV2T6Jrj4eL7YOMY7kiSMKwvvXLbpg5LwX5ekJJ5T21nVWTevhiIk
GVYO/XaS0UueePk2gN++tc063NSBtD6RyjtdD7yjcRrFTD0q1x7Igimc5ZrHNf4zLgJrWOUWKRNF
MAlKS8M4ppNnhrsgLtnfML6x6cdUJ5yWmF5obQAcBb4whGOFkiCcvXH/ftn7i6iWZE3z3PTFlW0j
IH1TYXfLErtDZxYHyQt049tqJHIKHhwBv9QJ0PbS65lBAJaohbpCk2gALNge7pySKE1L/O6g9kvr
W38eOgQofzx92NXnjh9O00GM2ZKWeHFAivU4mPNFm7OnqoA4RKgy0cxr7v078MvJUJhg1GyuRJOR
Poc+zP1wwc4dvTJWTXEYGdbeQPbAUVMxfSS1qL4w3Lk+vn+9XwhI3HELNhMKN5NEtV/0dbBaQDxj
U2RDkQr3XMU+n3YwwjZZW9J0J+Mg7xLqQXCNt+fXjqoXBpMJ7oBdgkVyHeVYDutFjvup473+/udz
fjlz8fmQXuopR2DSSXpzPGm0ejl0h/yQlKV7+j/sncly3EjSrZ8IbQAC4zaRM5mkSImUxA2MGoh5
niLi6e8HVtd/Japbstr3RlYyFZkJIBDhfvwM0zxUL43oeKeWkUDMinAUiu2yLHmR0hxp2owlxWpe
3N62FoV2xkVQytTnwIaIomw6TwTwzD1LNblXjp3BQO7z/rrwIL+P8zprHAlWOiZEXh6EpHHdOUzG
3wtIis/Cc5g8kpeJ24Vh+XcqtjiAsZorH03IUU+vpyLiILT9iy7IVfn9vbDWLvangc96L6goIZR6
8Jreci8TBFs5p1dxHD1G3O7K5RgJQo8W4XzqMh8feMrGDdNDe+/26O+SfvxTGtgv32ClJAKaI4wQ
LNM3y3NUHtbk4LHHkH774MIRu2qd5U/bwC+IRSiwTOVKBYQ7pklvnvmUTXPsEXVy9ByKZy9h46rB
oaPODukzvKIRGwWH5SYtKHp/f4/tX+8xJYpY8R+0q7Bq33y2sgpn7sslPTrDksRHNFbhtYGN6lM1
URoPzeIy+cTgcjVCfizwmn4xWnfZjQpCQTQ28FzW/ZYs0a6cArFLxpZy0kGjSf0dXudNPXwj/jIe
T0Y80Li+fvv/4dV/xKsB7X540L9QvC/PiG/eJk+DLfNDf1O8IWsjmODNMvETIZSMB///Kd5Y2AFj
uZCBsYlji/p7WgT5m5dgBX6YMwk0D/+HVAv/XyuIjesWpyPkZf7pHyDV66r78c3nGPIQzLNHMzdC
2/HmHKqhtPW4peqjn1iuJqbLqa8TmagHGMIzjrCu+wfs7i2gxgf60FxMF+K1CBiC/nwOjWWYjgaa
uSOswf7ONOY58rw/imjezlj/Ol1tpmzMACz79WX84bQb3QG5qptKEkRBOKjvurui6aFGEEuwM40F
vePQw3LqcuN+WHz58MMa+E+ofLjWEz/f13VyHsK15nD/FV2GIxlks/LHI4lBDJblQgwE1ifmcSZz
8Rq/9v4sc4mdsorhnxOcJ+IB+CozEHrBpH7fIBvArmA12hroWiCqWA4MSr0UZCAX/L9I5ymVRLma
bcg292oK3wFd7Bgo9dKNqriHIVVstQz0MQU7ABnyunPlud0nelp1AD8B12gTixiVhgQBIm2YpB1N
JJkfmDS0N/1SWB9sCYV1RPyDF/nQPgcViRr4zM7qJWXctwdJnB/LCe+jIZc1LTrlfo8pGdUuXrTX
KRjfU5qp9jPFOz+4SE7FgYTOneV58T263WrczgMmNiduFWdnAk/AWm0HHHGwyWbDrs4f7J2P4fAH
zEgAmWWT3rqdrq8bJ2S+WCY0J3QD/R12soQazf5COs3oB5sBfP+ihcyOsYkCXsREYxRkAN8N1bg6
oPnygDVBeepGzdcR4/yIw8r82OXae8/TsXca9uSutunAJvKDvqpm4X3ALRACT60e0hH3EfIkeTId
A8Kjt4S8QwsGZGLE68OzjOzYdal6WYCMH8yeH1FmP3z0miC4RjzlnLoEEtJU6uFjDrXreg18va6q
gDsS5ojMN061gDx6kzYZsJbtbmjp0Zd6Rkvb2cV969ExQYfyIqyt+q9OzF+TgpMnSnIboZQhg3Xq
O3Vf5cDrzFhAYdAxlacm4OEqH2qYxN0NE2smsPXOJOXi1A40pyPj1a3vEOtoWHFxD1pQ7L0g7W7I
kHKjMkzm74WJwRd+usW+Kk2TTcNqnuiF58c4bPQl7GZ+lUjVAUVFsLEkVxzCbLyJi/VlNzr31kgw
l4Tvbe88J8emNUzRHhcFSxHTzPm7VWTqoDLbuU0cnkQ8hwGEZFCQighgcLd24r4WSQvPjWJEUrzQ
zeBcWRNGEMf3Hn4ZX6k09KVeUvWAMzes1IaXoey7Ym8U9fgNgIxO1aHHI2oWA07IgYS+8xxzUPjd
6xItazl/Vz1XrwtlwyXUPAkHi5KDY7H++2JuP5eJH5/Lofi8GMN0TqkJb5PgxZxCKIKZATYFXbyy
T+ngPpm26j7ZcTw9JjZrc0NoZ3Z47aocp3xyYn/+TvRHe9PmLotS2oQ6pDwozzfGfdw5VJ2VcOBC
Le7tRHn4oc5gXk+wVp8MaN47TZ73vrfj5kkwJb/KhYGEPVBBuzHyIIwClKTPjOLx/s4ExtlhHxbb
14sLKLVPQzMY9xIvadIwslxflkANH9vBKO4VTjHBhgCTMrJGKz7LMoeDtZgZ2Bf6Sej3knJNZv3X
Ft9pHlMFxxwPmKD7xHCdusRUOOzAde1uRjyvAxtsIiQh4fMMoj9+zfrJ+ZxZq23TcRa6do7ZqI16
de+A9K46lMbnBRa8c4+XpdqQNa4erEDRCHsTgU2Q4/ot2iBvzzp0TYh4dlhvGjmyNU31zdTgZTCy
ws6OUbwbzcG4gzZ4b7jTjYMFMPYpvnunewwJXVKub3o3geUX31QG+egkoiZQ4nR6Qk7/MLgOLodl
PO0mR30hO3jagQF8K1K7Ohl18lVNTnpKNR1/bU3tdVPNy44wIRkNcTJ+s7KhwwthuJKAvHuM6qyz
1OQzWqr3IzwjycloqTod+NQXI4QrHvU6Pns5JgMFIvqs7Gp4sWHcnZCRlADY0okIknE3VVbMDRKE
8gXb6DHYCLf2D9PgqCh06ntV+9nOhiJ4lcPxvwxevuy9lBe2w/39KlP0NxP6k5NWPEiQavOEpfd8
rHzole3qgdgsBokiglCcubbyQ2r6LenylXm1uFl4nBLrPcrJcI9eFIlMDVl9Z3Pvvw7tsniR24XE
OVaaZ7hJgMqPdpv5e89anmpcz68nYKUI0Hw6JUuINKHEmZ4jzOu2Kh6+imaZDombcOZxgAf7OeWY
I6hj3OW1193T1FkbaywGfPWnVELKxfMhDORT4M40cKKQOIwmdCxlUXwOYVP6kSc9TG2zOVsi3FeD
LV1QGvlI06kQRXdHdRbsnQmyAU5onY1lO5sImVsFCodNy3t1ccqhvVp0rHeEJtknW7bDVqQpb9Ww
SxJw8LphBarRcs+t18sHjbtT1OeEowQDcbTlVsxGc7Z6Tz+3cNxPtqr0hxbjhiSyhvAotRueqilW
77JC6O0cg1UV+C5G2AhULPdi3pRLUuwwznLu/MFhVAXCPkFgXSrYYgG48FzhVVFqXFPFalUo8k++
B3gRmGrZOzE+JFM4G/suhYQ4JaRtWwZneWYupywTkrEJLqkJ2UCPZZBYhzJjxXuiSU/BLONduMQY
eYd4gBI4ZdxXowxurE6rMy6PM3w9lxi/HYzH6ruTdDd4K/jXoRxtksvRkSfQaUklrJy0uLSDtk5t
WvnQfVOvvyp1LNDv+MrZ+O7iYwKylMNVqpIiiHIrN7+31Zrh5/i1J7dmbs4n3eH42eJPeZis0v28
lFOWbdH35NfOmBCPK3LPvFgAHhr8rbYS93M4m+ZxSQty0zApGkDGwCb2furOX5rcaqKxXNa6oO3u
pCTwC9Fj3ewCBkxXhsTlh0bcz32WX5WeejH318y7GydiPDHAYm7c7EgyUjxEeda4tzDZs6NmOP3F
JvYKT/wWZwieDblia4kEgZhzqLT0keSEmojG2GVzxl2MmLQFV4plHXuZGFAkm5Zd+KUuy2DbKgPF
SeGv70BBmeDHq6d04jIIfJ2JdhC4bnWWGfdG07ZcLsjuHidZ8nMTVKJRRZGHXbwn2y+ynXSLnS4P
ydKczmqiKvyr+Ooym8GApYZvbe7nDBAIbKNOJq053kjyrXaUod57WXSUZWvBCAt2duDdYud8Er5X
X5e91kfHHEDcG8xDMKYFTalau4u3qQttd0PgvHFfY4PymNlkjCUVlQY5ke1Nol+/Rdh9EsbqDIXR
8Lop48T8gpVqwDjKpzwJu856xzZYfxOt1+Bkn3hYVFMmnr2EjWhT4Ze3VUOrDsivp8cUQ2Qycjsj
IPCi6tUhqTx1Zc451z/NyzZJOMsbiq3P7cDQZFBr+Rt6zWd/lOXJHrgENHlo6iupXgKFwRlhi82u
zjMkLNkCWKpgettMmkV5Kuywu/tDE2H92kT4wg5oGoEKV/7Bm17JZUaGacbSH2XHXqL8rM136LQU
vjfMo9usXrZhKvyXGTXY8dWaw7DsZzyBPi51InYZ7vs7wyUIcmqr5jL3tvN5Rrh0IV69uDLNSjzZ
TpHKS5u09XzVp2lwij2r2DKW03uch9UBKVh+TMLMvcVXut31+AeSPc30kYNb72spFD5xVFF9Ny1b
eE7Tow3j+X5Oeu+94frqpQoS08UAySHVSQysbewFqDewmDhNkDhOuEhSK9GkUA+SuISMHz0yiUtJ
xRvwWiPJWnd3dYlzCTAsIDRuHd2nsILT6JiZ994RRbuzZdzeFFhzXmOcxdlv0erhvz4/JtrATQhE
qHzqxVR457HU/nzdxUvCTcoQHxpyGOXOTcgwh+6P3oiUSYHesI9cGw66s+WCavuxiR0LvwHRFiff
02VyKjhKtjHc/eIUU0jFW5MQOS+Ksb0O5o1LpXMFT3P4BtVYtuyC1FK9iaXeNo5Trjipw2YnWfxM
riUlFHN60iAVxRVtjHmk62FpE7T30cwp8e3aIt7DNZo+qsJWX2RPwRykTvtF5RNj8gwFCaPngInF
oo+xHink0tqbHsesfPLJ3oxWjtjnYClFtu1VNlPMc+/CYgky8my5+bzsxl8umxYv7F0h4Ang++PX
pG2M5QlNTvMsldE8O8riTLZL296QD17sxRj07+gAkC4Tqok3Jc2WV2JbTy7J8FFKhICmHJuncW37
mPIwlUWjsOA9VUpGsOWCkEAn6ENxv7rOa3+F5TL/rhL99GhaeCnbNd7U7oC4y3SobFvr1ZO61rx5
Y2MNH+2cRp7Q3pZM6MxHOOfI5nmM62ArgpGKNHYc3MIaV/OODOaEe7S0+MfR1N3XV6O6oNJYSVCV
b9zM0UdsJ7tz13agIQyByMkL160rJXV97yps1kme6D4tSJkYatLeDi2z6QQRE7oav772CPo59Gxc
B0ItcKkK6vkxQAa+GRdwzWDtvEPGQTdVQV/uZ7QnwVLrl4C3VO+yQLefibx5N0u//TJOI22O6Sa3
Vo1MocIYJLIcfmltrAXL+q2lEwIeBBmT06gp12cAgxYnM15VSSfLQVIseOVn7ZPbIdySfZV7m9xc
mFXPGR3p2jRk0qRxSqXT3UFQ4Mk0OUfA6x7Y1qsfJT22uiqwIcBArl/op4XHrVqbwYbYnyudeOoi
Z1CN12VoS1pflndnHuVkqIuT0GmKQXV3r512LVg+1cLI27PoWDu8EE8luTrgoZB7SBMPrqeY8OTX
tsxIDG6D09FRAPRw61cARWeB2hctjfiSpi99oNVF87rVkVQJh8CC8SgSKlADbNGK+651JEMwAF3q
Q47CCUrRu26aAUXwttObhKnfSWquyIRnRvOseQWbkBG5jfE+sEthulE7Gc2OYOdV3Igee1fj94ha
qHJv7cJz33PQmD2Awzx8RGAPEqNJEvqkBTSYjTsu3dcE16cdKU7qoTZ4zWO7L0/G2tQK12Fbo5OK
z68dMkExJmaqUKejWmf8psqmyUa83O6Exce/9s0+4+iLXI1n6iZ1ToZpfMcRcy1TkG8iAaw4pLrB
LPZ/Lc0MyKh1aMnx/ovv4SPU1/jXFdsO6up1MA7dp8YCu8BeEixjWmuUpRLpLW4j7FuJObK5G5gS
4aTZPAFAM+83O5w1MdvCWJsEZFKQu/6rSbhUtBQFk/aBsnU3EOVyHHPe6XU9d/26DQ+4gV0RZAkS
hLyEWqPo+fFw7NRVJjho0xVtXOCvcwpQGD+tlt/sE/igTl3cPKdWnNz6U0u73q/rh3AunJHBf0qk
yMxyucTXsiIIQaaSoi7uq2WmeyeeZ+v5lv3h9WywRqC3CXPBW58tn34f8Io5u3PrJwbx9uES4jYR
coc7Vdgfll7NUVgR2eE1VCAObQhGAbn1ofUEiQsTDxIfn/KkCEW7ZlpbX7s2xQM+xc2O/Ebc5cn1
JsseivoWOz92MyeZH9VCedIW4CJmU9qo/vFLitnHPv2lx/ZK0r5jtv1XKAZZlXMKbKJD0C6SuikB
MgZ2kzaivCRvIpCskNXNfhopMitebEg+AvSpKXkpiBBqnjABBRhcwOpEFlOijRQswoM+YwPq7Tjs
WTyv26z0uRt07IwjGyf5SDelUOHZ1VrHDWSUyB4b3Z5m+aH1qZYMzOEVkuuZm2myvaUz7xHhcZxa
3txSWwvWmmHG97i7N092KavsVDtud2YOCXizbpWIg+B1FKK4JbKp4FFmLmiDsQ7KQ84Hct9ABXUP
KkjYhLr4r76gnT999+tYHka++qbuCl5cglbJQy2b9gs8VEqObtDlKccNG91mhjLRr5/m2eWuaRRg
JxhFvCoY/S10nojH6nnpPlGVEBIwSfywIXA0xNvZk5vdLIbJJguxZMbIk7ASfP7h3kw8cBUU+lLY
QJmvf319MdUaU7cxrKn/it+gcd9yqJyIMJLvcPNT+wpR/AGHLV7ozOnOCYERpMOTbXTrtL4mlA63
oEvraSrhxVd7CQV6cnTj7dKBxuEVoPMHwhRsOgKyQjG0kB2lcGujbaCB44oJsirz5Yi4HkeEhOjO
FQEnRrbdTa7Ph8EnCc5jPDZ/GiK+Ha4xukMwhhAaTwvh42bzM7I/NQKebN6NRycDHMaEfHJvfQ/f
zmRcyGVw2NpSvCCxrzLlOz9pCMsaXHHUFAdJXNO71KI7D2JWV/XSdp+mCS0f6lP5wJag97+vrX91
Y+PLBtDlMQvB+Qy3kJ+/bOCjjp4NMRyNTJiIIGvvvWrpxUjGS2+NicYEtIJC1JppiooRmpMJlHGG
CNo85y3Q6uvD/v2X+mVEuHqk+DbuX3wp3/llNpKQ+GuH+EIcySzuWGihiLcDpJVrvRjzoSdHY0v3
rndKCLCJeAJky6FAH1Ct0ck5c3GfLywqUXrsBsRafGuxc70LvKTdsctSGBp9A51tdI3t77/5f+hU
sEJ6ffo+JB7Akp9vZ8/8tEnWfDlcs7tzHILbgNxTPXZ519+VK/iqBXPymT3xCbPR1dqupi+cRvff
s5f/jSr/MKoMkI/98NR+mVRuv5fPy3P//UdRzV8/8+OgMkRJEjhMxnl/Gar9Pah0/+UHDBwhc695
Wj8PKlmutuuHAt88rNl48n/HIQT/gmyCARCcAvjz6wzzHwwqrZCR55uRGqgefmpkdBEpZL5VpRY5
SYWWDrsjRrrppzEf63brtQLuqdRVgzFaTxJg26l3ZYMWBiuEOWIWGUY1aMk+nzOypLXQFuOvqSKB
Fwooh4a5fJejZ2wDfnkUxCQDlwl0rMAgXHIClzdYqmLKWjITQ4Z1OLTTBIceCVGOTylcue77v8Y3
YM43ZU65R3aUSWnfDbETxTnxldAuCtItY8hWPmmH1B/dBjJEfyW7Hv1MJda4bDc/EA6DHFT0Xnti
4BWfcEwd7wlXdM79kD1h4Gt8ysrKwDquxmmxk/VhCu1kR/MuNuxI7a2G47mt5HCHd/I31yi4yJgr
JY7hDpZXsQ8JkNgqVxibHLPAA87/L22Pu8zGDOGC16YmKrul8yeMAZopzlT36WzfeUKam8wfLyNj
wg3ivrvMCj7E83SxYsD2VNbvMbWxruXSwnsk5XxjBziQ2kGFi2117QTtpxjOWKStUZ4LlTwRhXny
OLQ2pRB3hYLxu4K2ftO8l7mhP8OtN7eMjwhuJn10DzeKkVtWRyzBD1LgGO3TwxQx7rHzxNDS5VeH
HZaxvvbNW7IQiLIndft9MoTlYwMu/2hJUR8EmocIwbgAgQ7kOrwimtmsXgbdvjNh3xxjxziPjuqe
G8fqP0Bpp/jIYgoLIJjdQv31DjLzMQ409D6X1HU1p/0nyLAfvCFrDniGZgdrUMm1Fxc+05jQQhXj
Bbu+DB5K3RIm5ojlAU5RAge/GfzIT6DG22E8fTXMrsdeujPFHdWsuKmyLrW2i53KgBDcTu+QurwX
hiV3oq/7FL28uB/KMdwPAcxTIWgL8SawyOABkUgJNo/IXsUCAVkM4ETSWtYmyRRkSsulDQ1mr7mx
LTldrfs1Aay94T5Aw8uunMoznxwufDuoMYuqLLeJ7uZeNnuLvDgS4kkwv1pU546nJqfEgktIhwqX
XRuHAPZu/KJCf7mUdi9oFWun2JXYh/YbCzvvtsqt96/b1/82+j9s9BbKR/bG/66hvG6mbIAo+Pzj
Vv/vn/r3Xh8EZCRiAsV2z0aFTplt+997feisfBUIGmTzUSC9nuV/s1IQPtsBTmUeIjM/JMf6/zZ7
m1+IwA3RIyO2leZi/ZPNXrxhiVgrQwr2Bga+Ljao7lsNIGbMy9RkVn9y69gnISE3rHuTd+FCThZq
mS4PRrxvfPPLYPgxRjlhf1JVHZ+xMqN36gHPfGio18Ta1YcCWl1kz1ZZbUjuNT4EaIPBzSnMd405
hpGV5hKIxZi+573NPgb08OiwB+5axCn4RFfxpTHJWiXizp9BOoEGoTP0y2GsDH1susp7P9WTvPnh
kb37iyryY0TjG2IOd4AC0HZcbgP3lIHWzxVVvs5VGtDak+zx6sPHLjwkagojexzX6+J7//7z3tAh
Xz8PbSeMGQhBKGrfYM3ERJgyKYr2hMADIU9Sfkk0jAeCwv7kf/CG+rp+ErC2BeGJ0ntl+/18ZXry
LJSXoMBL3A0kY+ZqzYNjC4Gj8X7GgfoABz++/8eX5zurLIxahGX6Klb7gRCUm+D5ZB6AOnupKjbG
xNELwcN3t5N0e7X555/GRNhDXArFyf+FT7m6ItVVDhRnLm5xIQVP76XXW8stiq4Pv/+st+TN9X6S
EcWH+AId9Ooe8BOzlwTdMq3IOTx1qSw5r9J4KAFEERYEvQU8o1J5O/WTdb0Ql3LUJXIc1BB06r//
Hr8uIBceGYJMair+fMtvLK3BV9Uk8lM3ITLcykGRcp3E8YfQaxvzDx/26xpyTUpLG413ABvoLb8L
h59SjCQnnlpL67sm6IftaPAGt2lbpCeF9REm/XVYBH/43P90kT5VKG4NpErB6Pv5XhdJvmSJ1+ar
EGGmcedpLmJalk2d4Tb2j26og6DWxMsVUi6P1zLfUvOczFisOQ3JoidpYttJ0NpNa/bqKiE46OH3
n/Vmv339rNWHFl23D4z+lhiLoZdn9AZrSCu9EOEHKe1cIi6xtr//nF94eVwT/hg4n7DJsFztn+8f
sX5DT4R3dopNir6tXHIuylG1DYkI1luaZVgFyX5sMqwmCS7amVWS/uW98F8DaN+snfVarZWYx/vp
423zdu1ghFhgNDXyHeYh2QIkd5ieMye6xEIhFUkCdzvgvvOH/fz1Fv7ECOSQZQvCcmZVt9Nk/Xzp
M8PKRsd+dkppMz72uVedcadREH7q9NCLFlctSPGyxiCIhMooXiY1nxavlt8srwRhbeewOhdxHR8T
06jO5GLxh86NP0wd/9P3dHkwq2o3hLn4S5vlingBIzOOJNJ5XxQVdE/saQmTJi69xcMAPG99aNKG
7+8MohUvJuPHciPqOD5NReNchWMYnyTjyJvQ8AYoH3Pa5DCzQv9PdO5fVy0ZfAENq4X3Fjr0N+Js
M6xHUNklO1WhqYqoWLHQqB6Gcff7VfvmrWfFBCZ7zOqYG/Dn27MxM2xuijFkJ4A74ugzzYSD+DkX
MNtx/6pq/+vqfLudv34YIIrN6Yh4IgzeXJQKBndwZM52jrP0NgnieUsk1RSVvCr7GI1n1MpFXVmT
9D+DHKPLatzx8PsLtqDjshx/Xq6BwH2BNB2KAr7Om1OlRGBs82bER38CBAdTtNlMx1CK9pSAwd8Z
uOB8cXHnpzmb0E2qFrtS/rvoA3paE0b7OpgPIcK+G+fQJrWjI+wk6spxyiK7qPQFC6sYzlxn3+tS
xC+znMrHQJWwNsseuUfYMUP2O1mcbXwVr2acH3FHrRb73mWQ+57hjHmEm2ZdpxDmp60Jd5ZQiUXf
Kbq8aVOSfnoLEjw+l7Eyv2jiBi6D0SoGDrKOmUsbbnuuq67Sa259fNSD5Qz7HN+9dCN8HFU3BtnX
0Bw7wgyRkFpf66kSD4sQbbfBMRTNI4i481LOowO2P0qR7gYUEpdE8GYzrUq2TKEz5KFs3s2QuC8J
ehM7qivKxhWTCJBXZCE+atj4OofFMSmGkGsP3wKfqWedd/5nhDN9cN9YOeuNtx8jMdgffHzb9sZd
YA/sneYw+Z+1E7sk9IXJxV9/dnAbvgaNPowceAr4w2Wl8SFshLpwziDY69Ry+3p7Y28ZGbCm5l0L
olicG7So6SmGVSrOtlmlF/Jo4RB0OgW39V93q8liODBqdqjAkgZcLiI1MONjfI1jIrQWsBLunXKD
DO6LaaYfHCTbH6feRNBjJ2b9ThRg8dvc4fcsaZZevLFNtkPnZ196M1xQ1fU9YsNQr0wmtFPgK4kQ
D8xRe3tj2NzbStjZlxKCAHOgxnlGN4lhGC8NElUccPWduxgkNY8FltaQwOVtBjKawmi1sqfSG9ma
tFU+Wsp0yp1Y12FFIt05wNo1WXmLI1wiaVHAWBUJ0PVcspagKetLsqjVeY3WS6FRnIkhcg3TjBj1
DtsphXUS5VwAc9ocklg0sMB2Jvqm53Rhno+1JavXLRzGJ3Eqm+OU0jF4bmN88FIwkI2ZwP1LjDI/
F0G5C7VRbGXvyFsElN1+zH3rmCx6neuBUTOG7++SMc1OZtDXV0uyOFGG1yaytgHmk6j1eepM7whQ
H39IRn/XIHN67ry6uCB5xkMwdv1bZMcHVOmAIusgxcxykl4CXrvWqQ5mo8aNUUywIA2pI5ueL7K8
ut+HsmEi19dlEXFX7Uf4dLdZgi1kboX7NO0EIcQI2tGDtZvUmBg2VMs65OWy8DvsIyKxSiSbIxrS
wcE30XU+9/4gLkmV3faknG7mWcjtjDIOorEt9m6XPXixV+1g9dhXJVxsDAKYx471gkavMqNCW+km
1aSXhy3WpVmY3g+p+hK29jND22GXG5XYKs+p0fXNNrPS4BMWwHG9mYF1mJ0EnGoT7qlwa894SRKf
baP+8WC0oF37MM/xFanoyaeR+Qruo0qe07JiA3bWGqmy1Y2XCUHC1NDdWViUno2ZwYHW3nXhdyv3
1sGYYQiLdRNJhu+diXuOwolgAphbg4tVIvKz1ThIKWMj8a8nt+QLNSUYLTmctn5wNTGZErdHvJxn
m6wwy+puKZScdLt47BeFb5YPMMySB7KClveqIb5q0wwtsSHtzGAcypjYESXu751iDL7lVdafZOnJ
U9qtxIGYKvrSJ+Y99IPl3l+U2gk9TXAMZY6fQEO4Z5S1XfVuGH2N84bbMQI18F3f2EUTR72iFilW
NK2ovSHyTD9jK8LdGJiLE8FPQh8hKq3PxPqD/afqfahN5zAts9NCjLOrW4bij36pu621rKSUTgd5
lDAugM/NfDffu7ldXRktc846L9x3JKsNe8+fEgbtyXIlJrkd4c2d82UyxxV3DJ9ELjECcWsbv9GZ
ffJUh316Fh11O3yOYDjqGRcXLF/rkRahNO5KSLi7SvWfoIi7exNyyucJi9qX0ZGF2ni1ZX+wK9f/
KBcd6gNWDAYm8gti9maiHqtJa2u1Dm9I0fLuSOtVkWia1d+x84900OExlJY9Ited+u8tip9di/Xa
uRvFxa8c8xLG/VJChbeuoVDWlDArgRda+10Zd4whkYUImv88dYApelKTMgP0AbIsSg4/fC/diRxx
ImvGDcxd56vU5nDnjwaoAUH12wAm6xYLn13s4Yi2ITXQPSy+UcLnH2dAzcx5KNTQvEvGAbl/bOUn
TNrtC3cQi0+Iqx2hsocZkf/ZCOsL6SxmFFehjVl46R7dzhfXYZKsshXtQpzurC1GsQ3aft3u0TUE
z9PIJbHRdKstdyaiYGywAy1iN2BUXDO5rxdrwFcgTh5rEwL2ZAbNLWnClP2haLwNDPS83qnCaJxN
luNIAbzsf8beGhCn6ZIraUBLglC1DuCNUEGghwIzMhG4G9EvQK9oyaCMIPxzphPeCqmimd0bOvb2
UFS+TwNgNefSUiNv19helrwq37UgyrfBIOVRdEMaMiIIjpXU/QlLCGMzW3Fw1RB/c4E4EBwY5ldf
irrzvV3Rht1HJ3G7veflxUvoVlkctX7bnIypBkvKy/5xndwyR5c7PGadEvmzhgM9xHp+NvEWXtgE
BgPAdqKWDSwTWWJau1vYHtMVeZxZZDb5jiee7YrK/rpAFN9mUxvDmmbivquJlGQ8PjVffKuezySh
MdQIOQO7VOiDclW8dYJifGeZ8/Al7wv27K7k1GAT6IsEexjHJxPgYYQh5Q9fPYKRnI3p1DJ9SQ2F
FwCRxoC6zljTJo3GC5mq9UW6rX2TLe70YCTx/MXps+Bzgr8DPqh1aJS4IujA5dhTVenjBlVX9dHw
HEyEEfQnu8qbP0KXzm7Mouq2mKGXYNgd+fAwVqyIKiq5UbbyGdAzCxWwSE9uQ5Iz32qUR6fOzQuo
dbkti4UzoyErDv7QNGEbxOaUrglwnTxa8TLCua7aaYtKomE7Uzp5T16arSLp2tPJDSXHiAU6xLrE
8ZlkRk0YXBmae0aaPDcOBUgK7XiGRjV9bemN6DDSclsbFXehD7KnGOoEIxxKnEvqtzYZB3Yvj54p
CEF0bfFs2K3xYnvTco2aK/ng1jqPrIZfKx0ZPlh1xrBkcvunuHUyykkzjHBbf6AwjndkkDA0L7p7
TzwmCfEUSrO9QshlUVWPplsT4x0Y9xjVk1Do1zpCZrh3tOFt+npUkVOgY5YUJ1sfL3HI0DCxA3rs
TS3WdEyZfSlK7OhJqbTJ504ZAikPAwhp2PvJW76PWuCZA+wbEeEQ7gsr8KOi8s72ULmRlc3WhizW
fZCEJN0HtrH1Y5azmUvrSrnVYdLWs275xSmEgwPql2JTVao8YDYh33eenUY2NJxLXs8IXU2Bvqaq
N9482+cMYBcNTirPGeJLEjOBBxCiKd7nfjq06Wh++X/sndlu3FjaZV+lX4AJDocT0OgLMgbFoCkk
2ZJvCEm2SR7Oh4fj0/cKZ2Z3ZTbqr7+AvqybBBK2ZCmCcYb97b12oS0wEI5g1+EgdBRDI7Z9mNMO
O+n+bBJePhfWvC88bEcg9WfoC7MHN3m+nzzTijIxezcunWcYg0eyYl27IVRLKIej4MNs9ZiXS1or
cUf90ArvV2s0697y6DytuvCbWoxqpxZgL7pFO1hT8yCn/nFwjPfcE7smgR1EBuiurvojWZK3qVrv
hyI56sZ7aVVyy5KLYFTm+gRG8yf9x1+sMLz4dr1vOU3HtSzfQzOf9ivsG+qqww9mrH2MmWPYhEDX
XpoyV1uzsT/m0OJgZaQs8pl9KD1Fdsw2d5Ia1DnzIeGk3mc1hi3UClRtct3cCGD1DF+Zg37OY37w
aNfcdX5JKGIJl/SriRN6jZQKiqNQLfZMMjd5kzt7a92OXf5KGrDHZ5TRivxiBuPw3AUdZX99/kR9
SUb+LSxi1Y3Dq2GrYDsD9QQ3MBH2GKjaVLO8fswX8+g6uf/q9aLe5xVDsk2fTeqQdx7y6CSv1wk/
zGZcMhZH6FwVIoILsJ716Bpql1XzhYB3+N30/MU4Gm2JoIPpqA/MvT3ak3PSQUUjRIRfZ35gFnX9
fnZXyPcF0ZlmWnnNSKdMJMOdPxWtukKXhNSRKUvQQj1w+KjgPHTjO4Nv3OkBV+mmN5orEIZersjr
J66cRQiRabCTtyAtEmrEPD6A/KuMGGgM5iJC4xPROlAqXItSHvth07C8oDNdZxpLMyRvQ8oFITFw
0dUNnAko8/Ndxx73BYIeKSAB8snOfYP8d+eZd9Jw83Grw4Vrx+CzLE29dOLaut5OrJygmlztCdzV
Yp1NC1OnldIwkBVT8kaBBSJ3ysj/YvWu3nqu4iaSrqP50TST597qjAgNA2mNlStz2/5rV48cHUrD
M/ctTPkDZ3u+NdRrsDANF/SNu6Trjs5F7leTp795OGI3ueL4h8+yfXDVeiX3U53SpoC02PIPdtGz
kfYO4cjMRRToueQHg49GcJ3U/Pr3xlYY26XxFA50xrXcE8Y9xU3V66+/EgaVfTE9rv2ND8fLd931
xsb4/U6YkzvYrGxUAuAy99PKscfgssmsZ8XTExa8mLnK3MjMdLf7JRS3JVQSe8ZKPhToxgDVWwbc
eQakE8PNkfYDyhmwUO89TOZfaa/gF8gl35F1ZH3sEV4eYOoDQhlM3vW6MPmZp1kdyJFRqjRz3l2N
q0+1GLBptgthtdnk9xIVWnjrcu3rRoBssbvIbs9Rjbv9MJS+2oxFArgqX1FFEC9ZDAbsAImpwk0j
Rrc7FARZK55/gF7nsCH9iPiHKbqQKIrBegqV6m1mrSGzW/YO2p3rdG12NKTQGFBCxrlzrck9NZJo
Wb+6iFfJWhx/PXckJzHN47vk+K/LL6Uq18dM09ccjTP0NraGNmHOi7oWGVyzHsvh+pqUA1M2i//l
vZrvGn/kZUOkjAVkq1sc6/W+uUpx/VCvt/6STPe/SsMaAGiEAHgCtDD53pT+8A1L6T2ldmhswwya
OTY+9HwfP/tMSfRrZfIlRS3Uwa+vf9poXi3Lm3lgMaItt7CheHboMnY3kEbMV7oDhNwUugj3dLVa
lwwA3JluEaoffglPlmEnP1d6IE8jBtW9s/JN5Yy3HSmxdjZs5+OLxsd8Di2MayMRhXc8+/MDvkA+
OgYlJAfhDMwmJ5LESWs17wXVlMRTZgN+RD+WJi0CZWJduBzwG9a2h/yVkBHjBJxM9Z6yIPvMvUV9
1eH15a3IqRwBCq23Y9/Yl6nQkpMWP7jdF9l3OhXb9440ectW3o/HUi/JQSO5UtKCA5TSiBSbLoqc
7vi6UOUFAMngY3B7rKpWztVDt581CRNMt0kA1I2Msql5d7RO+LBfk6bJsIQoFpAPtRr1Nm1wdDtI
4Lct7UhvCjIFAQJvtU5Ywa372vESak4cfnLNzcfd1CyHe6xtiB+MRSGuXZ+CqUWac1sXScEV+GeL
QHMnnMKBp8RfzY/UlO07o0ijiZnF8plulJvQQFJ6WD5YH+k1qPeplxrPKxeCn35CLxFe4eszqK6W
EN/FEZun8Jg4Byx4Uf1rGoqEaw5tKxt/BB735JgLxvzaN/n8bR4DplA9B3KFlNqm24xjBTsjjsWz
1Y/1XTbpAXjVFHxvR5H8pAY2PI4uPcR4xNmZyAp3u8X1F8puap6AMeySN+m5eAR75aiETmgEbrLJ
ebP8Lj//x+jwL4wONsozUvw/Nzrc/Rjfv//F5fDHl/zhcmAy+tt1og104w/n2v9xOVjXsc//xUL/
glL413k7SGmLqdWfHjbgHfQEMDAOxHXYyLTk3/Gw2fg0/lFVhzME+/0K6HVweDFd/tvsO0NUGGvV
cvlPeh8fuHBpsrEMRdatJHOaAfPczG2DZyzsrKixunFLoV2/nWia3tPW1p2JnA32q5utBUtuqbJT
N4+OiO22m5llK9gxzijGV10AR9MpcnfWLvYch2MwIgrhmtvMXN3APk6LdRmIZL3VYzLes3rSzA6Y
EjtdsSp/jTqUiV1OOfKNrzBhDwTeUULbRe8pH22bCL2faQshOtZaSGPzg1gW39vhWprSG+bU64Ak
LWGeDogiUbkUxffONzr0Qnesognk6n1CIIBgPeFyc0MeGxkUvmfhH5pFCXZRdtp23wNqMwmQcNW8
2vYX7rNutxxSbEdyw8lqNo4BP2BDrREaPygLvLOPdtA2jyF1PZdVFuN9V6JrSr/UmykjkBYnECz2
clL+TUWxRxdL0RD2zmeNOhsMRb2BYDojCCBVv4DZQfxqNxMsC93dJJZLp1GV2Knj7wO3LqjDVrm5
mpsZr1+NIsk2eef4XGasGHaPcRC91UA1bdMOo5aE2YzzkKRPaZTz176l2dW5jIQVIgWsniIYN0/Y
TYtuFGGyRdRVYUREWFW7lvbENBoc4UD3Aeom6fe2FmM3JqSgptjttUNkjmiLr889XBV6jhCB/eaG
QKaVsCdkZbLpRD9eHxzM+ygE7rozZsmhg1sd6YCj1sPQmnekRaXGt6X6fpxW6LeTPfXWa5pktr2+
zXm51Oo7uRZdcdwF7V8mv88g/7Pg/YsFz+LdZ1n65wve6Ueth89i+Yux6/cv+tPYZf3G4PbP9gmb
5fMPW1cQ/uZyGkOcxZ7BQnZdev60dYW/kRu7Gg1MaN62Zf7D+uf9RjgNahY2LIA216/6d9a/vw9s
mXvjOrv20rL8Wf8PloczRUZgCw8kOprOgAbDOpssbhPOhCGViga2XFYMY5oPbSdgA8omCC/4oPSN
8qtx73RWtzc1eat/5X6y/+5MYODq0skamJzGhGX+fd459xxyCioHDv7ots09XlnzPoBayc9gJC7Z
06F5yi3U722umFykTshZGHWxmsMh+c6H2uJq4Aad2raLX/lf8XyiX2UdPBqR9dZblWXaU9tyJL+0
jp4RbErEbfO+6t2gNwhnayO4mYpk3QgTQgnzp3ISBcKW8Av1ki1jyhDJYLiEbFh2F/LmEGABL4B4
ROAMjwEOH8gECxKhCrmXD5kaSO0HzgOX5+GFjjiy6qqrwMyVNmWi3LS7j2qpzAso2IaGdS78kkh+
Qw9iULhgo8fEzsqjdpqy2MEyKikxY/V5rK9zB2ZOO+jkX+D0GnuVr+oIOc/aD2won7mZqXsCuvPG
k/3JSptj23j9s1/n84MVzsve72GbEoMdj7MxGpvcXzsQnqH07jrhLOc6zXZGLgtGSIPVXJg3vJmO
7CMj75uGoH+ZXTkqeBDMwZ1uIcUZj+sAAphz5MJOmY/zOfXXJxMi8L2i7xV7eFj7UT95VrrDACg+
VE9xQUixazRTvLzGg0Ma9mIGRXvBJu7EYGuqB3dcfSzkDgSYW9zDvfMiU5VF13jjtVF2K5YE7SQs
p+fFNJmBZE59mL3W3ZdlVe9aXzNpg/YAz9Mxve1aM8LDvswYdQ2JQq9mt51N1GGxamoBu9R75FXv
ToFXKKbQpXlMLSc84kMKjhlD23ST1Gb52mqrf278Rv7sJkou4mIw2ifkwvXOqe357Iym/z31Mw/e
g742ZPHbc8XWQAlHtbXzRnvcYkexg8oxM0cu2uy94LGPHCTLWPOkRSs054vpj9NdaIvx5E79sCWb
Ge4F0ZMt6C5GaWj5/ELauWSc6TmurwgbKs94pFXlJztSd4xB1k54ry7fJAaiYERJEA5bl2Dlu53K
LK7ksvyw2fpvuyoTm2Ce1Y0gpjjFhAa9t97mPgeyKrMO9uhJtWkmZ8lQE64BtbFBQI58t++DyO4q
Hy5v2AG1wJW6bMq0RMJixmc8u3N/1SSMkrvZrKxT2Lr0qM28jofRXxWjWqvMzmnh1chlE6+eGJI1
FqMkmDRmu3KxXRlBdhCf1SQmL8ohtzyvUwu2oQxDXr61K24xQSc7pwmT2CauyKcL9I0AeCKScX9F
RoJroZDh0a/N3N37ReMdCsoTw2xaP/xxnbfJ1ItD6F1lb28JK/xIRnPHSji9jRke0KgNPIJTFeKv
tSkQw0IYEfW0MOVT/jfMsfRBkr+cJYdFgucUwLXiMFsE8yK6hcFpWKPOqvMCAdfGZklCrEm9BocT
i0gVS8Sqe7dBdolG7lL3fSmmR0+NTGXoqwd3u2CZvGdu0O4nInOgVZqxMXaqt1oyZ2r17jyWg1NF
rBuVgG66L4muu0s+OJp0e2k7t0k3dWcDZDIatNOZ93kgm2e/sZkOWEMuNmbDn3s8o+FWWUt2HFdX
3eJ9zx5yeype2sqqn/HbWzHm14pD4lSQUWhYfN2+KD5lqo06guPE+ckgOUHn4VIar63D5C2e4YRc
bIcx19bHRsab0ipP7YRZhT8UaaTjUlnTWxpkJSRia6TmeOxuGHpu0M85kadDk92YtiRUqbtMnLJw
lCiGo3pynWaVETzy7PFqUfzajFV+8Ze5sm56YIwPQogWb+Cii5LZedZ/axaajCJh1awOapEl8zgG
8sxgOeO7cPZukSzh+BAtJoG6OAHliMWiyaHNGh+AO/b8c8RSxp+s7+ElNLIJ0dbrv0G2559IIV2d
BWvzTtKKeVB02267iYI81ob5gGsoeR2L0eI/PHSs83zIC4egywILhcD+mkHvNSu7jpnv+md4KWEa
+YudXc0lVncM54kwyqi7AWXV8369bTdGkJ0qUxkZB1J+ydHyt6irn9Ixp80UMN2lgtf5klu6PeAW
8x9CJ0OkdapPu+sZH4du4dzPRnuWCUv/6pZnaLgJpLLmEPoD1DPXmIHBVYywzLrdtkzH7ha38fei
MVBs13W272s+6CKa8mC6c5l+x7Y92JsqW+xoUPyHrh3jG2fb7lHZznwSbsfEjUR0/cagdfwc4UAT
anf9Df2h8/56LvkojaL55Cl1nVgA22DpkP4YbCmRyM7cGMYsYjtVJyfoZgLwTgb72epXX2yHhbbH
zVSpkC5nZeTNZl4H84snta63ndcVHyAIYPcsYe1QKSxSO6H81OBypksNhBkO1fRe90G57lu4EkY8
jKZ6y/us+MIRjrcrezeEHO8NU0DkMr2nYk7cvZRVWm1JmTObZyTl3PY5cmxEUM++T5DLDhyxmm9L
k+idHoxq02iT9ysxJVkQw5H1N8eFCI7pc/xuW9xJTC8R101UVbdB11vnnuWMT1G/0IyJeWKMOHeh
mACITnhAfLt4hzT81huWhyKMnz+eZNgeZZAYfsSnzhCRs8xJFoPNmmqsgl1F+bCp7xoc34/Cs/Kn
mWmXs/F6C3KfIqS8Ayt9SWmvjTgUubcZPqYN7jbbPufAa91NCHGnjyeRUyTuViLd0gsxbhK5+J+T
nLuPIOwYWqjVCI++AJvIAdO11ZYqx3C7WKsWkZrUeggk16IobAbvrFFTRURMcrCj2WBSHflSwgex
VuaWE+sICKdawCPgeKJATTByeOS6XWFiYNN/5FNL65LJMwAhCdLjcZTco2MKIevuBlCOmLG4JlnC
1io4fzWlEzyBxBCbhqswABO5eKeAizUEq9Bp90HjlfJWYVCfcYj51Z3kMvmF2Vt3sYgDf+uSQO4b
D/ouJQGF8SmshNsvVO563/WwWWIjrZikZdbKltFhZWO+0loPdk6I4Ri0eXifDn77M6wBvMSlydyK
SunSvI7Fjah3Bo9b7MC8mMFUsNiN9/sh+z/Xun9xraPR7xqL/OfXutu8rn/0jf6rlPX7V/15rwt/
IxfsMNkA3MU90eT69mdgx/9VXYZWykz5erHj3/pT2Qp/I9/DKiYYNIekNHFx/qFsCYebXYgoS//m
9ULmu//WzY7L29+krZBEB4GJwEfc4v70y9f6DwkLBxG40oJWvdo0iK0NsErIVcJaSWD6WXO7LQSn
ArY3XDk7lHIqAL1WOz/muYSqUq15HeF86G+J34uQ+lhHrl/ntRSC6WhJ9h0J4gOqTvpSzfBAcOG7
X0fQLreA8PQDRhsj2eWNdIGmUkWBW48/pBt1Dtu9IbPiRmlZn3wJJ6Ga3cdSaefDmKCinUxoj3AL
PVufRwk278UpksE/92u3QgTC8sx+JCpn+C7XRSHm93OceEjJRNl36wLsauW0u3GU6dD04wxvk3Sn
bI4GHKK3hZNDuOg4Fbe7gvf2Camr8jAzYJvctmWSv1jU9EZpBgMmVlhcvAOLDfQVctpPnhjsQ889
Ym/P8nvZ0ReR+/mVD9vl3NdG296T0HtegCc8eNJP5A1/xbmFVZZU4DBBQOiakESkcFFutWW8z9gP
ocHJaoK24xvxCrJv22EFp84CHsJmzfzO3a6AwC/cONzbMaT82NKDbx0GzrvNSa9h8mWtAv+pvVoL
lV7s4EB9o2OwnbVuefVD913sq0S+jtAJtoZjYxkAwM5rwMrcDXN99FgoGZz7vJZDNeWRzVkdxOmy
TCeGrWnAItZmWz/31ktXp4I+yiSlWayw4ANqRQ+3raebBZNljdxPCjMWSSd3wZIkNwJP3mu7YuPn
GmOsz2Hpl4K7Olj9G4H3r/ySo+/VLylObywGA9UFs7GdsFPR2G0PcjH7AxASzmpkd9zcescMolLe
OZwprluG26pHaQUpc7fSMsH9LaFmiWnAIR/XS5AlHuMrThlFcS2kzF3cFoJdL868UJMm1lxXytVw
cnY3Gzzkmoww5HAJ1ob/XKDeVq6Nt1rduktAVJmzmp83V08cPdRusYdjkxz9ot7VlG6+GEb2OCOf
RIp/Zkd9jI4osnojb8Ro1s+TXTIuT/Sh94cOrtcWvpo8d5XBiu+KYqeTzj5SBco+0lv9tkdNjCj0
zjFSlM1uosf9RBHzejA7Ppq2V9ov4WJ/qzW+zM5K/Uhm2oiFluMOe6TWDPQ5eHL8+FCNKo8qF+mp
w6aHFbIyt/gT943BgEkQ5xU4TovCAGpZGXWcdgaX4RbmAjm77IcL9gIQFnfzpGkjrzMxawsFCBDg
NqizgXhtfXU4cspv90AhnnTOLmoRFMS36bLvKmk98NPLk3QXjvAJIu7BchxyQdcOnQAnFB0U2XTD
MQHvJLlpRqQgmruOPI/71DnlpQjy82olVP0MJmTd9Tn39L4xe04U3IuxmMDyYNwdmMs2lbz6qZfF
wShe+q7bB8t8K21j5ng7zDvVlno7JisGt0R88WiOiSYcIfiKyx+lABhk15NH5Vk2POVGzZHLsuJQ
4zCAz8AimAe3omViJqt5xuQTWngKbPFogj3dVvM1MByOE89W21s174e3x5WD1y0Lh5tAlZ+rv+RR
R5Tz6LFcHgflAPFLHHmXhVoCB3FwkPq59Zhm3eMo+y3W9E2wNvXdjBnivbyuZsWQ+AjSHFRPbWuL
S2533rFp0e14w9SunduQHpns1TR6stz2/BM1AJsy6g5Uya6MPECtCNVJeATp72zJw4eP2pmu5gMv
PBTSvySeerwWv+5YJrDVofv5cV94+ivryrCxRz8Zo9bR8k7azJo7Xei9yRu1M5tuuHNTN7s48xze
qtm8rMrQWOWqN0BedizDgUacaleDYI7ma14FX8CFgTarC0YoyivlDhCjw4+HgzwTOfC4jN2hS+K5
sBgbS/1cAgjY2dWaPE3FdNsanYpnS8sX35AvLki8iKT1e7+Gr14KDRQS79Xj2UJELjnN2dMO8M+h
8eQ+tCUjSpDOpK7Tbj8F6rNGa9zik+hvTG0/t4lf8AAXGBKqrERy6SbzLrOcyxC257LPvniFDYsM
7ofZiCVipd1y8SOpPfUxUIa4uK6lrRE8BL2z73M5X2beOipwxhTGprcG34oktV5L6A4b5fh81Ay8
12RZmcqP2HqKI/EPvXNJe5yI1AURyba8i2E5Z3GxlMGelp71kDX6RrfyOOZJsYeZQzI2NNqI2woG
Fm6haxJSpjIBJIuwm4tPwaX/irYygrsF0+9jVl2xTr7qbuF1YqGdRmxV0s0+2tnj6mAP5znnLlhP
5Yslxpsa4mqIhXnjyDDc2ko/jUt/1+V+9TnO9U0YLK/cbMvtyO+D+aYpYvAU+WlcnAN2P2snQKLY
cYpR5G4GsgWRL8HkxWXXOrm5m+4Ww1mifkidN3y87cXBNVNHABe4bSIR0k1UOfVDaoz01TSKwY1m
X2shf9/gsZYbMpkQIYZ2ONsQ0uLctinBHEzAlY7xkhnTdXsGu9h4iMSBezeZvv3FoMvq3kzbcd6I
pRSAWZdVDpdaGsEh7Iv1yBzvRaAJfhhqNFLYEjVoP9efHCrqS2tSkRANDDv2WXs76vCzMsYHK/Np
EBKTvvRu/TDVhhF3hfFYUSZ/T5Hp1+toejfMXnMEkvw16EX5zITtSNpXby1+PcwOZfeN5VXcTHQJ
vcvVUlt6ydXBwQW4lc2Y7T2gTCSn2yKuCsEv249vV9vvFk+BcZuOU/EFWgJ5nbEPfnoDMOOBWV3k
Zk753gT+8uRP+BGLIXhzCreNIZz7X5g/5RsDc+NVH5HPYObMaJ7Mfh/6TPkdh1rEWVw/RLxhEu6A
A+IqABsmQ368FPmWO933VhUfi2n4lzCsx69Oz6g0HLI7cE4uGQO2bF+2FpjEXAmUw1ZxzzNVeaIK
qAH7NeAq6+v01rLLG10kRQyuEkTSEDYXzEYdZvEgGx4hQQc3q+91X401vGn0Mj8TGhQ7K8xxgIVQ
Z8+gJL53RfDJ6lyiB3shU9hkeMmldfJqDJRtSB8amZR8Sz0cG0QeYkS0oaVlrm3ivWykfVc7To5L
ze3OEkUhKnW/nCuBeXxqrJmsevdJ3sWKh7nMIaC2o/XEAtkDhEB9IW6lpwxfZZ32O26mBZtXb9Rv
DFOcU+ot7g7TbP7l2ni2wCMs8esbYnGeqsyxPurS9T6QzyAdrzoNEYexuaGKbteB19ymbhB1BgCr
qMajP6wGyDManxwEBi4q1yt/regGQP7bVJw84gybSoq4m1jQCk9qmPxdUY3pU2hwELVuOWjFFUBE
Fa4Hz56+N4nn7Tu4V5tKt8CoYZ4dEuxw0Tq7YcQmueddO7pS6IikCR7NhkHFLIZvZK5oiVtbghQ0
J2zckhI4RZocr3dD28Evr3uL8yWwyhtH2yLKlKQhy5y2iXLuZCadl1x4al+2XnDKs6o5SVTSuMBS
v6wov2OnLgqdfG9aH0OZcWCSAN1klbxgrKuiElt9Ygiki6xtkVIVjV8yOSpvqbd+V96g1VZxpVCJ
gtC24saoW7pwR0x1iO5Y4N1IYE/Bdgqhei2yb1Ooz2Q8w50Z8BJD+HyhWKhBtcS66ebVafJotpNW
UJEC5mhYagO+Uuq37Illc2gacQknJAkouJ9lPbw07eLeGx6OoIp7iq1dOGJTDbC41ZtWLJj9WkRW
Q80jYDrD/oKsTfa0rKqXWfcVQppkq1vQb6SlGFU01MNm4GQiWzbNmcTUC8WY867pOdPlTZJ/L5S1
sWZ/pf+PpxwHD9KiQMSbg+TFt8ozlXziTkEWiYeu/snhF0hc1m8tuTZxZjB9mMV4P8MM263lUL0o
IfNNSYnnjibYcCvIG3HoDtxoMWRJIo3FZaHHdheabnfnBcmH2at0ExYz3VFTMT92i0+XZe9Z8VL6
nHosCr7MVt7V8zLc2WYTV003xWuvqBoV5nKHGf1oWAFRLq9xQIKPY8QIdToHjv+94b4BJ/vNDtb3
tPX2vtUPZ665Cy9GsZvK9ZAExbhdDWNfZj+NoMOO6fUmjiLZ3nSFeuhyBxR5xvKYdQG6Xm7u2pbr
7QgkZU/rxN5uXCtypDxBK2MDlebRLIIXSG1O5OTr++wPn8mQ4tUseH4a53HQt36TvDTjqiOuU+k3
g5xmPBCBAIaHUuf45zUMXjFAbFQYNvuCzTECvE/9AojByKhNoiaifZTQpWOjl2ashxUwdhGkJj2I
OJPJQj9AhcYXXRB8YEuQCb8uO0EXmUab7ZYg6A+KJ/jborIfTkG5F5HhJcocu8fhJWC9w4Ss3spG
Vs02z63qji2LdNbcOCUHvIYCTRo26sdJ2/iDjbm79pUWe5kbqYpbG0xu3FCW+UYRWE67w0hbqNt2
L9MQMLiB6nvgVF0gFGf1XoS12BHqTE9Ux3o7VQ/Pi4L73TXhfUim76HODeunm/fDac1y74idX93Y
mFHw2yXLzp2EehY15XiBst+5w8tbhFMu+KnJjC+FpNM36dmZUXoxY7q3lumRqVxnBGMSfRvsus1u
9AXIIWbuG0XEKHHqej/ir9+kM0z66loolveanDkiMb57k0qLIYhBCDhbxqvJvUcx7o1fLh90CoRR
ZftwEUteMQ61t/VQ1jdKLgc8u9iyp/GOUOI1TZr57MXhN0As+aYLfGcjq2xkHu3WHIPUupkKvn0f
0kbJZyf1Zo573Pp3woY/rGc7buZZ7hj10tPB6cOvakl4sxp3LFfultV84a13621JRYXM2nsuU8Fl
kIbYcxVGcXFm+TYWYchJmmH1LVs1u9DEbeFu6cNT3dcBo0UJOjnx3QgaRGzQZ8yAyu6ogMVc76Vl
ftMXwooVQ+cIvJ550kWnj33j/OxWih9CPNTXu4W95ncWq/t2hhH8IBVvY1OAsA0LSlvKcoqNybAi
D5PupugC4zQJyeCosqEcVrep53/BP9AzdrO6eG55/Anf7GrL3KcTekepXe4ybrZcWel8qwAROM/1
j7VpH71G3y7tIiNCbpsVmDYqA/cs2yHQROo6mpjQU72LXOP0sZnNrMqumdxkTam24FpdDi3LceKT
GjMWo9h30KyRrqVoehg/Rl9+5L57CET3MOtmPpAptcnAdieW6C9tMtY7Mcxbrlo8ydbix3okn8Kn
wbxbrcHek9NERlnZdEF5HlRrXYjjI2sPW5wFRQwmvQ656Kz1104YyCbTNAU7u7SeWTsv9pIu/Eb4
PAtv4uYVTNS5cR3UhslgBQQsisDGSvLpmAUYkF1RfxCzDx9lavBGBu6eiV628WZnfQks8cA4G0tZ
a9l4tMyd7l3GJgq6QcxB2YAE7S+UG/nyuUqyH4HV3fWrfSoC792x7F1bvmuLpIgOfqoradQMcjpR
LfIxfRVuOlnHlmzlhgbAn61WRcyA5lvWGdm2o3OSYY4RF3bTIKoEaCUrmaJNXaMFoH9zbKHWVjby
QWUs0HE/KG+OW8BH9xBSbThBmYefNsWSP41cysduUfwldvKW7s4oNNtuW/dzrTaZ9qOp805MIk8K
FrAn0dmHuSiHHSpOemTLcnHMWX7HDr10Aw3Pq9oL2i3CyPfwLOdllzwErGqama2lXDxTWZcF0cyJ
XD8btGH2uwoLyLJTRkFGzbEypDZiUnwKq84eKFsWodWB2+Y1cpMWzQGusnke/EB89MXsF5ripbBH
sYh+idD/v/X6/Y/m7r360f/P6zf+5HDBOpfp//XX/+1////0R3MFE/7lf7a1zvXyOPxQy+VHP5R8
6e+0hOvf/O/+4f/48eu7/CslXiBO/1dK/H1RvmdN9Vch/vcv+kOIB48lHEyiCOogCtHP8Tj9IcRb
JnwsaIfAeGgAAcTDH/1psfKvf3Jt/UOex5T1p73U+Y25lcvN2xb29euCf0eEd13rrxo8zi3niuUK
4WbZFrj7v0Eb1FgE9ewxtBXamDcOFxLSHXrnVDp4dDOaPsm74Zwkv56t7rbAncJ1Vbuoy5hWG+ww
9MqvrHAVVvG9MTBSfx6WrjyR8crlA3XG6tuocv/NXem5z6wUIXeSNqmkghoemiqrIyR+GP/UJ270
KKm7aDsDh2nWUj+wgI3YV4vF4guQK10zG7UEmTh8g0XONSswWe4UNGgP8Xgeggf8Fz626jw7U3Gl
xdbxxrqOw7QN8vdRG9kr+OW+umlUgwuz7YeCeZ5LziPdGWVlingw/zd7Z7IcN5Ju6XfpPdLgjnnR
m5gjGJyClEhqAxNJCfM8OOBP3x+oVKdS3VV1y6zvoq9ds7KqXJSUjGCEw//zn/OdLEGJR2QmGnKT
xzZMmp3fgOO7IZnAy40nTBRrLCWpHR7IO1jttOVyuOBVSsd2/BwFLeSRuMkGqjpvfKlD/GBhzvvZ
rJK5GBQyCUVTajOMIx06Ig6F+aYoMFF6m8WJoxC2y86hobhMK2bMYuDCTah4KNlglmTmivXUBzYV
7rGvG1tsnJR8BYr5GDEytBzXMYwHDnYMB+86nOfOydZ9AdthM0ZVQmUKHp1oL9kHtzdQCoyjyUR2
Z7KEpY+YNAJbECTELi6PsQFCNmIyf8gMF1sQpzVmAFGqe4xmzs4N6vmrV6fZlj4VkvHZHG+Sqmt2
o19kZ3baFmkOu2DY6Ic9kMeGHsqSiG4+5sPSELP2BsakoiirjeXG0a1DEdN6jHNMYPQ6bOzesVap
G1UHFLPwvi1U8RSWRg8hIOTuoI2xviUD8onHdnRvRU13xwPau8/rbHzBsjttooDyqbaOp3s+D9Vu
Hqvkcw6Ag4RXNT/RymrINcm2peaO5TqPSu8GC1/4Oa4n6zDFroGZAjl41bVGwJWttc6hG+ashoxE
b4RHHvZzvcwYHpCbT40ryoduRgokFR1H09pJufPAWGi9aV3NWh/LVroucQSUiGEo+6MiIbxXeRZ9
tnCnXAVYx+qVqB31yNmN/dkn95cueaP8u1A0YIAY0Q5WgKostzzD9GrmenmHkc47Erd4BP6x6dLB
ppSHy+dZzHUUwXfUtKGH7TDeDlEkr8QERwLD57DqU+SsFT7r9j7O3fJzy5NrP3Ife8VJ8ySadqTi
xvdP/KZBKdTM7fAU/GtN//Z96HbxiTtv+xgJSz8PliZkFKhJvqVVa17h98JE1DSWd1LkpnZ2Wn9b
og8H4eBgi6dM8xv0UoJW/vBsumn+NGc6ebJUnzhrp/Gzp8YoAy6kfMNco2/3JiT2LeNVv6NN5gri
tosklOT7FHnitgxK+r4mbq6rcs5SwjbkiG9FmmTIEDqNV+ClkrsyTCesg/VE6QGhGj7FXLJjx6cV
O+mNboP0ONNdNdRrFSocKnnX41fIF+HT5L7XqVMFOmhjkc79bEMDv+2N9hMexoe0Nrz3yakYSU06
g0hWK/ameOt1+ojH3MbyMoekS22WE2lH5COJjoHdedd0tDR8NYbuQec+AbnWrN7cgfKJGmjHnRUG
+rVRFdxXChJZDxSqvorSyP4U0cy4dhumo5UqGq5lGoaLLcXwsjCaywpwZpiRT9aZEHqdTu0JvEr0
tbPi5FuOZrruxuYsB3ZRjqumDUk+61nC5DlYRHq5Yig1n8H4L6UprmLG7yWSbWbHeLwJK+3aSuAI
ITxR3WdptyicvQi2+TCJm7FLluqHMDEZ5grcFQcZ99OlUnbnQylQ1sPYh/5rpgrgK/TqAkr1cxVs
sXXOF9sI/XM1ls5XblTVFcDXFk2A+jj+ryZJgYilMBdNHwOmBHzzg+o+C6O7gRkxELgZLLURlsMQ
0CXxsSqgPq7qmXC/IWR10yXwIALlUNxkTm9ob+VFKHfJBFDCxF9KHioNu6NDJH/fN/Z0NnqJWId/
/s0mZfS9Mux3sBaSTNjY9eu5KcgnBFTrtKnBl9zIrtUU+9eBlWXn2ETDX6X6LTYl6GwTm6E9TZ8q
s33gAmeS029jvBqkkBLIgrtECAeYig7uG+A0W4OYM2aiTnWAsZEmszHiZp+EG0Cu4ilpHHufRg6J
3cZ7S3XpXxqC6OsYVeeRqklOkLitaZ7Pim3bhk5+7VQC7z8l2tdVadLxqNgTrdyCFZUtRHXPJ7eA
4xuoO3iv7Ts2Je70shY51x7b/xxh8DnxE84biYmRSpQak0ueOcVdERrIhJIScFHC0zU7c6JIyUzO
Rsu2zy3Lat8P07BhKulfZAuENvcr0oFe9qVnLZ82iMPw+/WZlVQ04L5U8Z3tN8WqpPJnMxWxXJMQ
6b4La8y2EISGh9R0ne1oq3YLcC3b2T7bD6s1wgdi5d0NWdJ+rwKLMrguaW/HKLXENtXBslGFBrXm
+m4c1XDFpjFeOyV7R5MSxWaiTCZSfvbOilqQCMTKzLH3Jfbzb22WdEfL4HFvetlSfsE/gcEJIBU5
7mFMesrv0tzejAlziewTcda1kb4FKZ0hfR4b+94pjZXdhfl92ufQkbo02RGnaViNg1cfAKQdCNV3
O2/i5mXQCranp3u8SoqK8S+fqPFjBW9szFmTB62rcWtRxvjWOwquA6p8Qpveephj96BGi7WNc61t
VR9K+hRXZh3IXSWct8as74fB5+oAzHoNGGLPEW1gqTAoW0STiiHX7JJMc8PI8RxnZnXj1e29twjr
XbPXqhhWZkEljBmXFxpBiX8SfMHIXbP0CSjUcROi9nYcExDNox1cjWurMIxL0E1qn7tDcLCpx4bk
XtzjOb9jEIh3OKhg9SFxrt18vg/GYbGpZvm+61Ggel2XGzuqfGaeQexLKh45hD3r1kCFWHG2e49g
GehLQ17F1y6+NaFrbEnGFqukwHchExyTIz1EPA+s4V5JEbwlxdxsPYOPHwrkwSVPde8aiFVBz9Q3
OoNYI5sOxwk33iEtI4PMtfZPBRNInjhL0ean/5Qp6Tp5a6uu+t7/fS76mHX+Gpr+f5qlkCv+hauJ
S/TQJr+GVQhZLH/oL1MTfLnABi/xYyz66WgCN7/MMdzHmZV+eplMZiVBCIVd8AKTX/6en2OUy3Rl
S3Mhc5q+FTB4/Zwh/yTtMn7+QwKfY/1GiIS3yfhkm8xlaLwWoRDGrF+sTK1w02ZoovikHRPFPs9h
N/a49UKJmOHa44sZFd6N4TjVJann8mZxH60avzBpKQmGdCu8xAQLzxdx28opu4UqlmYr14BAH3jt
fgoS69SXA7dLaMbNhpuLb1HnGNgIahk7kzl24qsxV9XZ5N7rrSqZn+u4ze68yvL3hRnE+9ALccNy
rPfwBQxqIph+9jqJ2yM2K/d66BbZCsyusbaGGRNQoSgkoz1ZfSHrNXMme2EEKnYgB2csKiydnJfq
I3IDdnQ6DiA2Ml19ZcXKPTGDQrTCqtIjxqtoq7BV7bJwcm9VOPnRVrgBJsKlye3IDtE+ZK003pbr
zndv8RxiNfWPFUSob9Ekw4b+LzyJSVwPS09Ne7E7G4ATJCuy01kKxAU4y7fUrNj2OSm1p3ltsZOa
I/cGelx01dXaeCs/PJCiruSNoZvyOCfN8xhMDf0X0t1nsT9+iuu+fwiCnvYnOrLbV7740TMKCwb6
weGsdN0oHbAFBJqLSHlka+jhRQI3cYydIPPYgoj2azPzSFlLWz25xIZ4k8v8FW5Hfwh00u8EPs83
bQ75OTHbW0NHzilr+/rUhlpf0dY8rkvHW54Ific3LTuceGXOg2z5fUbZMxtEzAm8SwN/W2F0O9lZ
+dUsPMBaVeHyQqcAwVKEw1kkjkFfpBnvpybMH6vSjp+yPiFgosraYh1CeTQ4HScVLFUdk+AMcATq
ifjsYf+xh+vBDnRH95W52L7FGO5iTXo7jzA8rVVHLj7XFnXjwHDUd7DvAzI80Hyi63mHJTmNy7vE
ZVyxWa2co7aCOaVnGG6tX1zXvZGeJXa+GTaMYsePRwHNz6nq6HPoacmUNET2K89mbs0Io+xQcrZK
VW0WB13DEdwgoKNp+6W40YUT3EchQQ/sw1tKQlmSzuPGbZ0biDzjG+1w2dFsuaiqFAPUZuwG2pjL
eLrSGufMLg36kqRTGj7TvRwZJ1xOTbol/CPe8VR0A8R/NVxGwhHhdpwz8dIHeYhAXjbDvRjKBrKL
SZtATUglY3GO/D/386Wjrcw/0DPIDbr1g+qQyLnjEm9N9gqLdbwkH4RF7NYkjGvG9ivLE5PmGJsP
7dprdX6oo9KnwMH0rglWzeZxCrLgUeP4wAeBcW/pJ2OO3tRRV9FJXBZfnSgOPnG5eTVMtZRctNa1
GNz5m1O32AU77nrlNoT+/5xGyLXrvE1RKfEXtC8YjcEv4QGsj35Y9RtMAjxHe8cJzkt97gYd9V50
MH1W1Or2WxTNZk3MxN76ea3XrB/clR6HjvV7nWxs3ERbrXp6byrhnRyT3gJtxVhEWlxC+4rRF4Hc
QqAGRmXuR3JCF0mZ1r5KTKJrRtCH9tb2WvNFZnGAs5DDdJQmqMSgpF5g7/V1foxmuqEZD4ccS7bV
X0Aq2byxXpE+0enaUPosesYBKADDMYxoWiWlrOovozfXRIYMiG6NGUQg38y5u7WZ798qx8M41Yl0
vJsbGDFppqmaq4w0aPGT2eOO9ELzxVWz+tbksXqZ7VJcWx1A3W2vOh/OkDO34ToIreY2noMw2/iy
Llj2qvAYS0MBQzTrhyjr6o2fBQrTTEtdQp41G7f0TjYR6Q1CVX4f0J+KTkN6IiUwt62E3ewns3iM
SmfYdy29yIllC/bAbdJ6pPhmxK1+dLeNOel3bY1TsR0FhciVNRR4fyjjoJbKT28nStzG4crOG7ck
XdiqOnmCX8yuaPZseCTP/pzhGWLpbYm+p0hp7tLbcAqNlSRkxzitQsLVeXtxqW+/uMKL7jgWpz2d
SPo4Ruozmn95aejLuwyiCxmGkzT8rGi2e+YG7bN090q2A1T0fvZLd9mqKL5WflKXC6CvuAPD3uyo
VOXmnGT2TRBhTGNfiZ0EryIBBZ5266mYk5tBBgPGDq9JWR4U2N0Dkx/XzQw4PDj7V11uMMOnZMhW
ou1cbPn8+FgdJamrMmQjpvvwwfZb94hCoB7RxX1aPUY2DRYy221pREMBYqWpzjOD+w0ZyPoB9553
jHjhb5ic9FHNrbOfCLfsprDRX2AOThXRNcD+kchnpHeiJNi+YKD2QBgzdunjZkiEvpI9Wg38UtbJ
Kr1r8oEMfyOt27DCBMshm9HPpSlxcVOJQa2KKhr9bJrR/QHenvaS/fJ+PrbVghlJdXvguPD2KUV5
t1k2jiwHpcKmHOj4PewpuksmNl2rtpmIvzhmT+8yDr97mVFDEMxBcBzF0H1uw4ruSOGMB75PdNSU
Q0VrR+3hyeoUbWsrPc/mBiN0zGbQCpp7ZZkFdtTUoiE+YGSKnYRKvCa34VXBy6XGZDp2PBiZvqW6
oUztzayS4E10lqxIYDnNc4I94oupwuzYEc3Zl1Zs0Lg2ctTw8YsJKtg5GA4L/gIZ0jS7w1WmvpAI
ArDZC/dFVol/K+eSb168HJqKcGrCoKIczcgrZfVQzsFzIsuIEzv24/qq6Zrlio94GmPSUsFLYoTZ
g8MCpLlzKcrpwJ4GDVYz14UUSutIY56ly24cI44oTaCbgFNpgSvhMp4pCpofWgC9U2DRKmnFkDLr
wPXWcVm64RrG5L1GcUiv+g+leVhEZ6e2nOSr/NCiZ5mZzrZVuISxOLnLSudaoMuNeEajLDGHEx9Z
CYrJG0sXVksT6heuvdMTFtjyLR0nEKr4qx/Jf9anpkkem9Kbt5R/FUev6WpE1bFYe9V0cXP9wgH4
nWq1r2nvvniDGl4t9FnAhtTWrzpnePECIz24np/fNYLKGrswzvxy5MpvqYEps775bmlnRPyvm4yd
IM6mBNEiyQ8tuNd7y1HZvMYWxZq/bjF4PfruQHZGS1hAkC+BvVTKKYz/nB3Tf7npSViMPP9sE3Wg
rCv52+z05x/5c3YSjv2HD597GVB+pj5+7qFc8w9puzYBEv9HKdf/HqKkJCsiiGjQz7r0i/h/Rf2F
/0fANEaGw1o0WBzF/9YQtcxIf/HDgQZYPlEVxjrXXBoafAa5X2cok5lAk8aQD11X49OqdYEMzr4B
/I5eCqRrO0KtTnLA9h5Fm3GcGReCTvTmcm+q13mC8ILAD4PKDHO1MbDzQEuqt8400qppmvw9LuQ7
CpxZBeAMmOoFTuVYxwpRGuKslFtsygFXU8hNcUAHKJFyjOgUYQEFsfQhwKnMqpjSiFIzIOAFUjZL
AroiJ9h8bGS6Xn1F22EtYsVzsoli3jZ6aUduzm3W4iTPzeaENaJ+HWScfiVmMN/xEBdg39L5BRtK
y1UyYpQAT9R/G9sICze8j2MEJAHftXsveoOTleeF/DRYk842v3xe/pxrf22QsRiIf/8VuIzQ/Fap
kKBtZdkW/jLGFtq2YRd07oNureDoWIOzreWEFBtAEshWlmy4NeKWCO4qr5bnUkleGo64ylknmTnu
8V7OW89zCGXqYbzWoRPfyMGu3gXhs6eycbpLPBvT1knS9HpwelDMftzDD8vhTEVIl+T5rOrW99tP
SGYQY2t1xkUvH2Us93T2vKeN27z+8xe9VBD9/UXTP7J8gH0fScCmw/bvL5q4tB+FZl0+EAYJX8Ty
24+qSjwLaU93hgesbUiB2gFSYJrlri1XhdHrXUfc6HoaJvO1zkj4Y+FX021Eh9VJVRZ025l/aiwp
v8m6Ele0HKrbeHDFmV3VdOf44efInuQ+SJL8c1bSm+NmuXlIKDncx0Zr7LPRcjdosv1WmwWfaas3
xytTW++lO5xVK8Whp7DxwE2cXQVAhk0yzRmwV5qaUf/inZO85HWQnrAAqzcuHRYmQEu9sVWyjt6c
t8SbuEiGMcCCehx2faKmC1/K7IaSS75MXZYcMuudh33arhY1HoRDqp0r36b4HioY0m6SdM2qWuh6
pm4l7MEFp1WWmMlLfkurvkzSayyjDaWnuYTbWtbf/Lzhnl3iHnSJx1DMN2lP7Mq464Ae18lV3vfm
NfuA6Y7hbrx2soYXJ60hL7ZNrNMD9rE0WGvisBcj6afbrhe8oaQVdyh2+qCc5btpZCAPR9U9QdFo
XoMoi7CvtcHajKZ/Vbnk/P3MWuprePiyxSd7FvC7XKwCv35hJI0FYTR6BlwDE/dkMJR7g5voZ1QA
3F0e7UuE8/jsMAG/kYfX665fuO+2muP3tK6mm9qlyRnUXvPkNTZ+1Tg39w0FeNNSTtsMboF1kr8l
G1sHmsYI6DDnd3+u2JqszJ4G8M6Jpu1cQIGbzAV86c281PmjR3upWuC4mnejDbiWA7XKTvjierF1
eqzaXDbIXKQT8KA2o6Xi42ML3AyPZgLOrW0cGHg1HW3UAjMhGEX3FGA2fioRUG4SVHbMakzc8cZi
8H8tzWxP/wT76WHCVL2yAOvu7VnTbZf5sX/rm81PzNk/1N0+ilf+emQsbz+ink+9BhAatDdv+Wr/
cl6pRnRGpNvwItua6GAPqWs1t43xgPLPK+AmZbIs64zHdE4IYzsEUOprojDxtPfNBctv8R1ElsBw
c8L0U3/NRpdqp6BRS2mGaEHZ0RTBO40V6tgkg7H752fP/+0FUNfFj+WiT3rS+e3zU5IEbEUceRcK
WPvtlApYj2xudw2rZgbSknMGHgLnhXQ5YkpMtVvXL8Hg0YZzxQor/M53D98ni5iv7H3FmaUeGE9Z
D+Guyf3wMfcaNk0x0fd/VWz08Tz+7c23PaCCBDuRXu3ff3bC60nLysG5VMPCtFNdF37n0xz6h7Zr
6UvQ9BIDBp9uc+6yVJ/5vALJLflIrng8saJL1iqQ7TF3ltwLZZWPvVsE+0DB+10jcpUUPHfJ2ZO8
fgV2S2JCUd13WhRrfkVIHV2ohqOptQ8rEIvl3WCrrNx77OrX5ERwj0r2p/0whE8yFikEAsM/kTOS
CCFgx+Cz4AHJ4+mFsUrvWzWGRwQ3zHgMq/66l3L6JqhcJHZFEAVDWC3FVgMIh92RvQoChiToy2YF
VLQ+5jbYQ8QmOI+KpwZZkoQ4jBG9t6ERj1vI9Px4JURfPbXykssOvmuRYukPZBO/m3Wnd6kZwzBs
1PjNzovlBFneGrQeFrhwHm1z0d/sgpOvTlpzNcsiezQpGWC/1bjJM+LHm1UV1RERejrC36JLA0bG
Gt+3PMeT6jaOl083qcCH8+NC/g+/hVwS//YE5WsYWPT+BMLnzF6ug79dGziri4GmsOYS56JnYjX5
gq0+zuYcaMx+DsEm0zjMC4h1HO24itVfSc9i/xacSVumfcwmGBjiPM1PTYIZZgVmKMnWo5EmxSqK
yh111MvXVVDgNysqDDj++1dWweO3IfFsYxO4ToEDIiaIuC+5jl2PZe9sC4/tGWbxksZUwCphvssF
ovMK+ZTQW8Tebda1d5xsjOwEJ/Byx92crw0myqBxjXuLL5ZCxDWH9wZu2T2fr3jTVk11mITu9vZS
mwwLeblyLr/XWiX9UzdlB7zvNH5PMtHbwJqfRM1Sy6qQ7Pl5YkbrlC8ENa18WFNJQNSlqe3Ngl27
aUeYqJVIgcHiqTVWhADZwjUyrq7xSdnBuh6y+DPPgeQzpHsAS7pWFqWfCdpX56PZsp1tIHITaDan
dWFxGqyoFInfDYb1izGC9xXY+KuT6WP4MLqCgBeyYrRC2IdpP8WFycvNOPIAqvJGEUnjn8P+o68n
xs0EKrOzbdRfKCsRLQDUctkfuOXUeo2p45uBcLh1dmX07Aob8DrUjiSVsdWg5V4Lytajdd8U/mbm
ZDfXRkkNbMQciThR0RYUqaq6ImuCRuKQwnwWlU58Pk+Dvk9Lmk9Xgjz2peVueQDjAnWk67T+Lt3M
P/pkTTAiFHh9fZc+GsCiWm3tEbCo37kJma82xJfZLvjUpOGWiZcT3iFcEYNeyNDcJJbOvyMzXPoK
zP3a4doarlRGI3VOduDG84r4ThaeWvMwCHhnFrLyx9Pg/7V78r/eZAtfhCPjH9MOrkCZfO1+3QqK
H3/kL4elg9rksXdzsC+x0/3FYSn/MB02fTQrYi7+eEoxMfbx//wfNuC8v9aBAaYVIhvSouSdQfjf
mWTBEvx2IIK/Y6LgI+w6NLf9HzVjsJT9PI0m96qQtS/WGDmF2rgC/ZhkNp1SmAG9H9bArLCq8KYq
Z+GsW8c0YDfrHo33If/hKux+eAwNnhv4ofxwEC5C3OhQJ/9hS8x+eBSLdiT9ddP/8C/O0qPgx+4M
F2djD2PcPY92073hwrlHGmRfJKThQZlDvMphPsy7DkWLh8n8YPiar6T+ULyaH/KXJI+q9yy3SKmU
k8idddqZLGS8D+0sBxzX3DE1ZshiYfACqduK12xc0NzadkxrMm1tHG4rVDkawOyKf8Xs6u30oduh
66HhWYucZy3CXkZTNTk0xD5jkf2SEXe+dnpvVw0QhZMPfTD90AqrD92QtCjNHLrIj0BD4y/uIjCy
FUNrJOMdvFXoj/k03/hmm1KIlRXzkf8Kr8fBtW6TRbqk1E5s+0XOnD6UzXEROYcPvdP8kD4/VFD7
QxGtFnEUTBc6qVokUy7Cxd2wyKicm+FRtjME/kVkDTo5n4wAbXY1s1IDZcaz78DTLXnn8+DcQxhF
rwVKZtzGBaUgk+Nym1iEXQUN6zFexF69yL7VIgCPE4T5te0jYtvOKJ+MD73YXaTjyl4I/3WOpAyf
4IgVRTNDLYpzMtjDVshy2HL/wLJuhNPOoi/8kH/o1TyS9RdjLmgsSHJj3yzCNvFJ/QbWCZEaWtcD
XpjwZlik8OpDFbcXgZxcrzsKsZtGu+fYXf383z7DVhpfG45EulknZuEleJ9G4BjtKaUiQJWnIuxU
Xm08SAJpsJOtgZ9E+Phdxx/uV64/WGH/+0T9D7nWhbfodP/4RMXt1f9W9yx//JmfYqEJCHk5DKF/
mqYIltv9T7FQYJ7gvmfS1ycQBReuy88jNcBWsYhH0uUuiDuaefnPI9a2/+Db7QQeTgwMUv/mEYuB
/rcjFt8mZdP8x3KoGvxwzv86+i3DLLPGHN96NTI9QY+C8JSK5eIhdbP54FWZVRLTiWK++YlVX0eS
PrmcIMJ7F8ItoGyKw3mNhbyh3Eo3JHSqznPfkDKgdpQJZTZ2Uc/nikxe/pRouzlXnTbfUyuaAtie
2YQzyhHevCxMR2ufGG71CbKFJ49dE4zjiQhtq66ZS8tt3GcwKMASk5Ka3ey6FjSkiCGkkXo2zuYw
1wiEsHoJr5RabkiWfBnZ+rPRickLjZM5s/X1xTdopERHZos4ceDD1gUFWBJIst04uc7HSh2HfPAO
RgtpfqwKzLBtUk73Y2PsZQrqrJLBkyonC4EJiNi6iJbu0JlM+dPksDqwBou8+zyd40Ak7WEJdgta
5TPAq5uhyhnlVgw4Duu4EhFVkluiYoRzX4sVv3neZVMP2DRk4pwwmnV3Hb1V+HUJRrzxjsxXWRek
IThEt9bHvuXpZF95bTRl27QVqxpcIuzm1q9hRspJqusqtfPEzpekGx6ecgeWoBgFLC+wqNYhTaaY
ViXgD6hX3pUm2NgGei3YdAOzU3E2pKwDg6iFVn8UBYiG8Qq3aQqcg+2cG/j03PuG59U89hz7ZaR+
+tJh4L4jVGtM7zgA6vT7Ind8n0NTKutG4sovxAOufrFjOeQRBqhx1DzXuN9ZjRfBeFa0YZ9cQv68
UW0Gx2zOh/SYkDi0tm2e3bOEp4UFTziyW6ZumTRGFqUJFtKcyOVmrrOI0UOIk59m1TaKTLiv1GPu
KSe6FUk9XXp3sBNyxDntGUFLDQ8lDdHJ91nhr22Ld3st8fEfzNIkq5XjVj4WiEI7djHd1wol+U32
jbCoKepcEpJ0NK56H57jKupTRISyC8Spswjm21aUn6h+S8XBLocvcWoDBNWV7dzxUCOLXNl19CVq
bRNPsl3swCMZexhn4HX4113nLmAyocV0X1a9WBK2bKABj3mEk3wFLFyaFA5AtiCgJjsyquA0j6My
sWz0YcrytM/ts+un+sTGloRZas7EKdhitRbUHhNUw5BHN27MnLIZbPdsel73jIQffmF/GOyqQo84
UCiuyZqsPA3Cqz+lnb5xSs+5Xz7ZQLA7c8OeBBRPI641iLYVC75+7ZNy5nlInpR3oDa/V1Q+3lZO
Fj1HdaKv2sZWeJSz/NDlRMHmxI0g6o3ZPkzojwMW0b1LlXX72m2Dh8g2HKY3X579zPuswfaWVgro
CITBOdOjc2aXjEMn7dST01R4ztNsUgAtLPlSOPMEDYqJKFqp3LQuRIF4lped9d3wfELnPe/GLtNp
fxz6/I2LbwAJKuz8jUH0JlihYdkPNaMffUneWL3Z/tIhldqRuaqy1nkl482MDMCIv6M2jtjP5dqy
avxow0jFugn6IZuAEPlpmm7DMeXiUEb+gUsK81BNn8ZqcAmD9k4E9NMb+uRKBPHw2GM3W+e8P4/d
1NzzsQaLIOdzoHCUOVkYHAwSDj7VC40HethIApwVuf/Ovia+C3I/OYAlL9/xwQWb3GRNuqoLE0vq
XNmoHaag5SW9AI/1wd8DxMj4dD8APq2LFddqCUvDCteq15+gVYnNPDm4kD2vSW7SfORkx0T+BW+8
WhXxAGJMCRD0E4biF8dXwcaif+RCe0OyxnqiyIZ00AKtlJmbOEmHaXl6M6YS8om0+u8R8eV15jR6
W9FHSyWXtJ4liJ9bLbCujZOv7+bSqXYC/uadJK56FRrKfPBEq7N117QZpTJA7LcdF/yvfj20G3sa
qktqGxXOcoX7O04HjMOij76TYTUP5UiFnYVcYmw0H60tI3++jiHFM+lGscL0z8nvM9muPH90r2Wj
ozXfSGtnR0J+ipqgvvLBhJ6qoK1Z9BJj7RsT08gcxPO3ZG77BwfuS7omuRRvOnPOcUQIUv3h1Lgr
IUZ51C2lzmtbNt+KAi6PmKoAx4usrgHlpGvDatqzLit1n9M+RBVdcN2M0kmQopM4PFou9vjYFDQ2
4q36knejfEy7vL72ah/glBIdeAk3Di52MGEr9PvpWE0hSaUqtBWBoMS8pX8oeyqCqnmKfMJKhJzD
z3UWJlfD1IDOUb7+JBBqKeio0v1M6HEbzoxYpgvkkiBRQ4IfC4jZH8tcj9CEvOGTbZt4vRO7A92f
EIJ2HZuuVDM275rOI7zr4YU6lcrALYn9eb5y8BlSYdoSRfEr2+J97NWzPZFWdkZQSqCD4IpBA9In
kQj3TfL3G+sqLBOqEvFOuKkZPM3agd9jax70fokJcNVFXbJzE1JoXlLXj6HHym9lOC0X6yjE1LTx
YQwPTdXuutoeyvV/X47/I5djIdnz/bPLMZbqNkq+/k1v+PFnfrqQzT98m0ux7aF1cvW0uOb+eTn2
nT9cM0BvoLTDYqxfbsB/Xo6tX1Kc5h8LYtENlqUFjHf578gN/kLb/2WDydLcAxLDX8aN2Lal4/62
OQ9kBXMaUMvB8qMXlSG+9h03CJcmpNJwH9rROPB5a579QjzPSvEA9Rj5J+obZs8HRdHIo6WYjTvc
Q6tSKOdI6U4OeNisN57RlKTJg5aL0OhSyg62oPKRArCP1V9MrukXQ85yr41+2Fg5SBfClskuNErw
LCw20jHx7xTwnszvi6tSEZvvRz77lmoaMHJSbug0aU9mT9P3WNzOnXRWdQ+/Jc2nBTpIOzMNxpvK
g/QlZjU8yoTKuAhO7OKlojDXEPdKWw7xgejJtQt2DMQp916Rx9e9mYir1OJnMk2+iXA22q1juM0d
Ju6tzeJ1mGZwxBNhusZ1DoU3fq0GYHKjNapNa9fTa4LIeJUpUBRWwMxQY6DbEwcDUQdEd6/KeYHL
5hOXLeu9TyfOXCreNnyjFz/i8FWOM5SAfjyBH+CelDRqQ2iH4b4vQdGSJVGxV16Kptv1WMfIRNyG
C+yZqXs61BaZtsmrxCWoZf7cUzLw5ACULmCDa9H/L/bOYztuLM3Wr9Kr58gF4MAOenAjEJbBIBk0
IjXBokQK3h348/T3A5WZV1J1ZVXdcY7SSCTCwPxm728Xlwwx+inJPVzcqYdFhVCmnH5DROPG9Aad
lLQme+5VldyBKrMOotU6nvMl8Up1NEjYdXhnTMuwr6wMadhKK2y5jzqnOYVxnZxllY/PWFnbNyQb
/tNUCHBXGNaYY1Wud4pJF9+0mPQOTZ97d+5IJkgJdDOC6zbY+0549YubpC4BJi4RdeT92ld2TmLa
sko7W6WCs46isMq2kV7Lk9uYxHQlwuDD80107nHfIFs16/Io2zAEbljp5RGRXc9YwStdzLSkeGpM
eYrkrHdMjZeB8tYc3fSzaw6aE5AzUG5sMwmfUjOv7j2BVnMqkureQJl6FmSBXVkIBU8shdPPdb0s
JxDOL5tkGpptkaJS6Bbn2WwPyA47YnYJR7SmDXqxRW7G+odKGXuaTdBBIBvPem10wdommfUvsnfF
QROiX8JBOz5V9FKBjEkX5APUGOjMCZxC2u6HobLLIwydZOeaPTsh9OrzrRlxatp9OLNIaAfefAOA
4YJ4hNcIn2e6ZE5fXbWVDblBQIDf1F7OLzQY3zebnJ5vMw8F64euqF9irr9d4vh83BMO6SCcEnbv
7iK6qAkSPc/ku7wx/Rl2Bu3fuz3J6Tbsq/rm45WlYVp7Wxw6/PqcNeAdHmwMb7a0QZKGsXdnTZyD
ltYV33Kg/Higwam0Kc/typnJVU2WN96JYr7Mvd09ulPBX8wp8g/2wE0k8AQ7YSLQl2wdK/38caal
NtI7IjIxBq2MmaDDZMIlSJFb3YwIGwjvRoa/BvyYPwG0M+lowWdvusJy79C1WQdiE6eLwTonkBJn
mhn1rrUn25q7HinNRw0+X74yw5HE4bHo3jo3Ts4lnr0b5sLzVRMa5gXitXcZG63YxJyROEl9O/zM
qrJZoWdDvU3+Ob9o8DiiO5fZNo9i7b4COrFTYPnvG2quXZV3zBGWbwvnMkEg0YwNss1C9Ldg4711
lfLJob61T0azJJsT10RlRvoo4vBxkYHnEELAlgOD8bwX9NYzSKMKlmuqzujvz/AnbnutfRiaCDaQ
XX1mZLGKcGpgW7w2u/5GH6PbeLGk5l28L1L5zR79K0KS81UHhqk03cvUiq0A19Y56ilCkhHgXfFO
2By40YWY/Vvkv/VcrT3gs5eO5xibclH1u6XCuVh1+ohg2jg7YGUDkl6jwHFr+OYu3CgcV+dkwsQ7
pUFLISVKN7xFvDTdGJNJE1dFcFJGUtd2TpWlK88fLFzGYDTcupH7YcjrdedlQEM0abyV2KmHxnwn
9bG6aujUrsg3BiZnFsZBmPZXaXT7kqkqj0lIqkMvbpaUiBekXs+t5n2d+wq4a9kWQLpIvS5mCnky
3sFjYVkDUbVsSWvHqe6JKoH/G6fqrRiw8KqYJkDFLZ696b5M+/rou9lOgP1awwjkC04c5qBNH67S
cc5OmWM8krtgrtCSHrJpLg66Z4r9yE040L2+3kysf1fw5o51RNq1VlUvjc7kYCor/TRnuos0owOe
M4PUtlkm60bRrLWiWWF+/CbmmrWv574n5gKmHRv9s+toVWBk2UMHOep1xs694VrHwiGgRhHJ3K7C
1u+OZEJZSOgVXMRJDPk+SvFtrFjiWjT0gemH903RvsVzR4J26c3nKUYcvhFIf7s1xk5q5FIRCwPN
vTxVhnNmN5vdcVoxyGDLdivUbG2wFZdMoHvEpMRS1QGjHZTYhlm/Q+7KNuinDwhUkI/V9Su0WAZc
XuvDPhmedZKsCaleaG1mY+/ADHzVLf0FoPhOn5vwcTRY9ZM8AIxRjNmaCYR2LS37MZzJzXK4DLG4
l9Ez6rkWoL0IOsxep9Hrow1FgvdmufZwccHyPmZzs9QQAO7WreXA2enC0cZZgJBpHQ3pY+oSuIWv
CGgJ3vT3TgKl9WWBRYKs8QDY+bDlmT5uWUIfx6gQWEWJx4SgXN0RrwVsIG6orAQ9/1hL71wP9fi5
pJX6jAFRnJ2O8GSbCmuFp0cFpFxU3Mm7BCo1ed0QIbLC86GfpdFpmLqMKYwZGjQ2LXEZKByXxOQG
T3fnRU+dM2k3jiGxVAsTDpaqsD2FMtI2Q5b2J9eWFmdMCW+/auwaa6aCpG/TYJ4rD0OGZRfhJmzs
YhO2TfjkN0l3GbHfpxvVNiVKX78kwTby7AOVQrYz9KrZJFMesgO1CUyO5fStLEzzxiii7nGUybiv
Y7f55BDXsQLcUwaR8vHiuOgNNPwga91Vh6ygCiuGQTvqRHkiqzGbfRXa7bqGsE2gyBxu4fF6vKwc
rYCVf3FbxCqtJP+T3Hb9Woal3Oaikjv24IDLiDxaUzNcT1W6tcCoIel01rmnXlIpyeIgHjpfTyPw
VWWAY0iwVGwLi2z0CnnUTlWI9pJ43skKGzpGeLG1aUlvVUaNlw0VvgNn8G5Y1OX3DdOZvScy7UV0
/pksjvYdAi4FiDN3W792IgZRuNLpf6GQyCQB46i4xBENrAZPJ4TKrm5KlzlxvVjUW320n0Q97aZx
ioJWqPvZEe55SkyDMRyY/rk0ds6YtOscZCWpKdF7M80Q33jkDU0FuDQB1zTpEyHXOJ7XPTyBw9iE
pyRqSGSybdK0vfQwK2e6ClMPam+QanFmbNAQXPyMu6tx5faaQypwypDVWBLtxxR2BtbFgEsYvT/c
DxQVxFVqqKqID290aCS+HmGxc8d8ng4T9a86ISYjbz6NiszeYBQZApDUeDpsZuIplpyh76ugoK01
aXCJpPkaZx5UEaZhYWXueRp+mgrrToOXsC0wP67Bm433GL/UxphVe45ShifpYFvXna2eGyUSJh7O
JfHxPqWq6y5Ic80g9+30pnFr+0s7VTPc5VJ9YfjbXY8FLL/EGN5lNJub0TaHa4/5PORv1zpa8A24
+8XtrT+iixldp7ks2aUbM+xFMGvuZ8vTQ6a5ffo6koW4TjQJUqMMCfnVEmcVpeSIIUoEVDIkQN9q
L+ZRWef4QaxkB3P5wcenTMSddaUEhTYptW/olwY0OoU8O8YyILO+xuh/grBL/COxyKwHUmMp+iMm
MV90a+ze3MxOT+NYttTxrbUXTmIfZOrf60OP8AASNZOgbOiyAw4nj9wdZc0nK5HaHYGn6hMk5vy6
jYuvNKCkfVRm0xNM0aHdnEHkBpA7v5J4yFNfa4o3l1wx7llh1217YuW30tDlC+WLw+5BMHCGQ7Gm
BrqIJLWxZRIsuQJ/Ko7sh5rAnRVXWl+OT4Se9VdNLcqTygevXjdzB0GgbEBhKMDRX8qm1SHdMbTf
FkbMo0D3pQsNIIG8zYzT995gCXLjGCLbuGBs9z510q1fsI2XXxTUObJxQmFp3PJdIDE9yJoHCGPV
xjaUd4Vprdq23Bg3nqGQcIXEAow0WcQGZ+ck6scXo1NG4DR4AVd2GSMuS1PSjsja5hRCBHRDZlxM
45v43QPbK4lzBA1IqdCIUD13al5PCQCiDMtR1zM3b4dvMeajvSu6ZC/RCu4nrXzPJhwPmGhd2sf2
lElMdHUkPSxT+nAL/gpkcOorgtAaqlumfSsbl/sGOW4SpGxzjrywRxo/GCE+uBotLbxDjl5dfldr
/S0yeZjr9//579e3IikD+Igy+dr9OMFZxjF/NfRZV3klX9+qf/yZPzeiKEkY9fjsQlk7mos4/o+N
qM7e03YIWmAa5H8PzfhjI2r8phsm0C/H8DGII1P9cyMqnN983zB9z3FtHOVLiOIvnvO/8qAv6pUf
h0C656IS89ErUFYyEvpVxq4Xca2HmtKuSNtZNuyGD/K6f5a/L+G/r+QzLHoxNkoul8Q+CT8vRuR3
Pp4QdpHVzF5nqRi9TFyXGq4PlA4aSEGCl1dk1Cftrs/Sbgp3MO/tJDnZ0TjgJyJLLw37PZICjvWo
2wOneASSpein+GQM7DMU7iHP1WBWacxDBiSsxRG9m+ipYsY8wbEZhgOeTwICeU47HQrP+7RRBokf
CM5H986Lpz72b2Atbsbv+Kvig4Vlf3CxsNIhTmDezDYSgneFgPrvq+bfw98Jlkt/ddmcFy3VfwWv
2a9ZNN9/8Pdrx3d+Yyrp6LbhLHPPnwVaCA1QCvi6ySyUf3CV/nHtfKgJmE1Yjo5oAEHVn9eOZf+2
ZMZgzNNNj3sy8oD/5Npxf56gctFysnGHMKE42J7F1c3F9YOQHHNS3TqTa54UYrJIkQIf0RKxMSdI
b26vtc7yN3Xh0j8OHmivFTNh9aKZOR4jMyHEbai1ExnB/WZmarCN5oaM8kq111VU7jHV9kevGd3A
yn3nqupL7b4pWbhXsEauusRbtt+Fc8+Dc3pMPRzpq55kg51RN0TytWwNHTbTK34fAy4sfyUlVihw
fpIbxeumT7CjPdy6a0cU8mj6uObjJmQo2twQj0aInqEvUgZj37TkV+B2yRguOEfDCoOQFMwgjpq3
3kag1qc16aSDJMFKlPM1XQXkho6Ep0H/GlM4rpq81TZhmhrbGdn1jgstokEydyQrl5+ICkw3LWlk
ARE8m3ySNyDSrI0WZd2rNDuxzV04PACEmJwVDscvWB/ySVlBV3r+fm57IvFQOgUF5Kp9nZkkwlfz
snKsB+aSKcmcPkNNuPebooHZiRXYWVl6Td+r2yKIkqWQ4ZazGtBHHbPEvY4NP1wZorgQVjduOvAX
PrJflAYZRD4T6YOPJYxdtw6XVd9prLvXoF2f7G6Y1wNL6A3bvy7o2CwG+dxH6PM0Z5N7/ZeC9pUc
ieJYl0ZyVUtUrzRjm0q5Wy3J6y3DqRJ0mwP83HZJsoEX5BNq0c30al5GIlqiQu1pFkm1Eig6WAWy
GBU9pFnTiggAYHp3MCsw95jy1aElpTFAEodDejJsoA/aHLSTbgUl8zJa+Wg39cybG0QYG99gmDnV
1lUDpZd6Dza3DROpxztOJEC0i0XvYm8AIZLn2iZLm4eqdZ68SQFMHN1VxOp4q5WJvjF0Fe/cunhV
dvo5bTqwU1UosVbTTup+qh0b039HEpZCbfTtgHPiAe/dyhk5JTwZ3cFUqLZ9hEHUJMEI/ldHYhBE
MqvNdSaV9qExU+PzbCljncn2CnfZF0YJ0waMVr1Jk3Te2yVOIwXiaoXeAU9KSZviRrW1jxXrcAuT
0Jq0mobRk3zW2q4gnmUK8dO3SPWrudkZHt9gJXxr65CzvQ1F+giCL7ou9bjYCu9L5Lf6cYrcZm3X
jvaQWwamc4hcVoCiO7kUkDGZKTg6m3naRbAk8kEvQTgbro8fEJRqgPj4mkIk36LXYOYeEqKqMjIn
bbZDG5SS0Qp6mg4IQxLEoUBygVEg3I70VBixgvxNN3UOhgk4IIm8YW+a0aFD4HcFg6sPNDOuH3uC
I7e9h7vLJFlw7ZB0RzAAQyHdXkaBdqo/gk8hbpJIPa7cRkHvrN2136PJYd1c3meEVtyGda8fDcwT
9sp30AqtRy2LidIiIYcZMXpSgks2YgaRxktlhqCVgr+oncoKyh7w5LNmZV+SgdwauCwAtRuXMGBv
0AJX8XnWqrX3LuJGRk/6N+L7PPbrlX2kTTFXqdPdw+g99OXgHD10jYv5+OKEabMZdVFBjp4agoty
J7AsDOBm439F03BJEOKERn+bQ0pc6Wli7OZEey8sNW9ziRKjc0/41WAzuuUOjhtDKvgDBPVocl1I
IAusqnBquijjIa68NhWL/8hT921lTnt3kbvnGdUIgyKGsbpH+5cwlZIleiI9cuQ1+tltX5ivfiMo
fJJU4BtvsfSZcYTQ0mfHrdHBGOluspr3oSUr3lWIJW2ZMrfKEfAgqsm2KZuQTTajBiLXkzh4v/D2
MTjvKjc/O057AudHBJI9PXlji1gBZRKhu8KBpJOUD74/fMpDOQZ17b7DkWATHjKSG6P8wTT6K9fq
5Ln2zGNSkS5AHmt+DZB1VeryNo/DMghF7K3DpvkmJfELCcBQZpl9tbNgyQUhuKxNM3b5aQbkv4Pk
CG0L5OA+T0lKEvFnf6aTna15X+WlccVMu98O5txsUTUvzT5HLJV6aAYruW1ZXqcGD6EJhekqG5Hi
ZVBetxJPEOQw+565A+znrkmu5qY9RLKhlxsEjK0OdnaObS6Ii8Z5ybPpeQz7fu/OMPR7siPjKI+3
vdmNu6mEPEhqir0m0du/6fLhVo9cAijwKy6Dweu6aQlMRHtKjsSlIiRgM4I1m5pkXHFDyw9GrH3q
fbjhDdIugcCHe2G/QEiV5F6TyA1RYM6e+29yjCHM7SKNuxxAGXvdA6yh9DXR97Fj3EbuKMBiM+aG
dgKW1k0/jQPdudK8h7lrr9oMyS8x3t+EVrvHvMzDrebmamXVzIpJI/U2hlXoBCsyJ64I0aARrMIt
NJAqGL1ZifJL7mD6erRQQpEjg0Kt8cv9RBQIAakwJ7xqfOrCoSDCJm2clmlLw9lXeIRrSJ+cJDc2
s+Uig6Nvt2LfAEtAMucuJsNH0Y+lQFkwz7IFwWS3FXfvjBQPXCvs7szQvgircB35UpGXo1i8iaF1
/TXNMdAtcLR5osU58RlSSXn9txTh35EiQApb1LP/XKf79E6YbPlTI/v7z/xeWbvGb5YrhO+QN2Qi
AVh0sr93pS55jfCjYZxZMNB+Tnm06Upt0/RMl46V0vf/daWW+Ztr+gZENLQJBtWu+x9V1j83pVAD
bPpMl1fIQdC80Ev8WFd7xtCrpPLsvefh5CXR3lulUSO+d2f/1IFGH/Bj60twhIElwlkQAvQP4lf6
WtizHhJVFO4R7pcEY+FtX3lTyE6sY+daOGxjc5K3yQRXXf3yw/dx+93v+KNnfvm+/uHgtDaoMvjY
XD7sn99i7BDfJTIq2IgVZbbFFTEGw2RwXFvPLikwkNfIL2ofN2ciglbNyfukdVB8HekI8s8N1Ad9
muxYCuZr0WjNsV8En62Xlgw8c+563SzrTRtFCkibG14KB7rB/8eboC8DA+7TpKHe/vlN6IgdQFQT
WISP0txMVqW2hBZYh8Qd58dG6FCSjcwVLM7mgUfmVL+MPttkm0Xewuzxp1uHNPnbqiX5Rx8U9jk/
VtuBXGrQVUO29YbReCiSvtvOpeoIFUFhvfvr97CIXH6wo36cBPg2cSFCj3Dx0/78FlqmCf3skoCE
2Bv1hq5y3Aly3rlV+u2vj/SLu+f7kTydKYtHqDATk5+PZDN9p53iSAO9wx6lGV+e4zVHEkKbO92m
bP3r4y1n0K/vjAW9Z5mc4njMf2lOTaMtS6C5HC9K5B13FGa+feSf/voo/8vnh6ZpiX4FxGGKj/nS
Dy2wL7ld5KOGe9ccE4KF028oUIAAtN7DXx/I/F8uV9s0APhw4bFT/fWmkCJLZHHveHsTBchBua1J
Hcg5M898cXMhZA7G1mlRm3TZZR5s71TnDkTw1AgvcV+qq8K2mzs5O+ghnAErVE3OxbAaoFHvESWF
R8qWeZdwbj4OEaz2tVA689aIBFCUvREHoUMiDcSDI9qaTvtpdFSy/+s3Kbxf5nHWgpNgQAVX3/Uc
hoa/eNNDsj76WMlpP6ZsXBHbjwc3AjJMLGC2rbIWdqqovk2g7QI7w+zNyZvu82KptYy622a1pMIj
ZQSMTikCwF36J8PMkrPtz9ZndywKhMPORhqjeW/4BU5+OeZYrjCOPyCw9gH2MSjthnh6jCMWJmWU
zDuo9zDOos/czrK9A+ONeGfTBmaLgIanCzqBOjTZ/jrJHnsl4V9kSW1iREI7DJPeA0Th9JAymg5K
o4nhuUfh15gHz7pos+hg1Wq4qcmdW/bNrnUqvCYHxerAEBlMTK4WziCndwiH6gyw7hkQ/qeOVUre
ECpfFrN2Y/v1/DbDrKfkirsNkwOxs0MrbekjAAKTkuIEmqsskgmE/lD3bfGJiUH2rWanQPGp+zPq
B3TxDA0AF64qbMjPrldmgVuYcm/7PjaxOZ1OigXHjZNnXtB5KLxWokjGm74rmy9UOfar3pBuCUoR
QGX2rmWad00SnwaVNok2miuPBTyONaOfBhC7f5gGrTxXYU1izlSO3SqSKHE1GhO9Tk/L5xngncBd
4XskZlcQAY1CvNixg8x+ivVDlBXFyQrr+VHLs87kT3V1NnoNkQpRtcA8eL6s02IU5D753qFXlniV
INhvUz6n8tDp0CEatxUPmQVIo+aMGFA19I0Qr1Ujq20Gfy5g7UgdWzFffUSy1hOWBJ53CBGXsD2L
9uPcb+NY3Jlh0W+4tw2HLq9m0rOmDnBfbL4JyXcuHaO+m2V+nYB1IUaHhcgQ5X3QhxksnKLr11LX
j2wC8d5GAPlSf4oQTkTXhLR9jqEY7mPwHpeQrHEsHw5EkOzVLMoyGGWLijhFZdbZobcVUhon1qYj
cqIMCt+gcDLrBL73KZSubmBBB7gq5hbVj2tjSSKy0mq60oic2GVw7NdkDyH/qOOZFzNBrjQzax1n
gtwXqTc0hjyM3IDHEP1u5DllkI7L7jZyzJ1siS612amfOo1ZjZzs+TUdW/2uT1rXgzCPlBMYRFrf
oEfjG2Lj2FzNs2Ed4nLK94ZIdIxHXC6OxqwnY9JiMhHYmED1aUfhZGGsJDBUT8uvcrCi55Qm981x
2/lZDHI8Fp43HLKB7N+BQccJUnO9IxMzXNuhPhx6g+tLmzM46Pk8R4LG2G2NA2srVyGubhwyDsHM
0omp6dEasMwI3YwPOvlnG4u94zqdEav4ok92htOUp2TCw1LqxTL55z9TwiPrIAFJdgTNmCHzA5Wp
OSwYWd5l2zAd5m9DJ8fqrM9RHoQ1RYEaZn0lKzPDRYOpO4l4chgsJcGionjRB2A0vGN5dJ2OXayE
ImvG+nyFdqL9pPzRujG5UM9zojd9kIWdA2kD0PU7YbGE9+a6IrU5lV9jd4q2TpW4T3HSlQT6usaD
plNfYCePgd8BzwkHSj508EtSlJ/y6sjNW6QzOsWM7mSXPLKa55QA1yDTFWAnjbpQs4kZzjNDHEar
ybY1IPmnCrcsoA8CtZUW6zTEFvcedLBsXSm/HHKljsq3eF2zqM8iVuQrw2LcIf2A9MTsOwvSikBQ
Xw68c2ayN8voMbB7YYIDhGcIfii6UW4dEmhnKX7G9PP2U+Q4S6speCUZK97dMHS8JQBWTJCIfcAy
n6X2RvixfWNwYwBFh2Cw7ky1JwYtX/suiYrUKva6DskPpY6UxwGsG7PPeP5GDTw8JYPkvs4u+Jji
OkJ9a1sm6o6i2ZGpYQOrq7TLzAFQXNGBrlToIlW159j+PNJasrp14u6iuzX/lkX9RepmA94mNp51
z6brZRTiolHYteQfj0widXFlTzoofW4KhuzFeRANqWuL1a7ITGc95Gm8rVAQbioEg0aoEcXRdQmL
89EmyFu/RfPhD2T+RcNO1sMc7/j43ewrGXJNfJJt0QyczVjRuqlEWoEtRCeolknayQ8LG1HwNLeM
pgnYjM/TaE6FOnw83v/eov6LLSqsGoNC5p83rOf38b+O77J9n39cpP7+Y3/0rAJuHJ5337JwbxJA
RCn6R89q/2bzfzzXXEB1xrIt/WMZZOAfpb/yTBtLqkvd+OcySMCh49fpOn+iW4ZuOP9Jyyp+hXlj
bWXXRPNLZW+6FlCAn+t7s5FlAfpM7v2BFJt1KUW3mSPkQ1dxONhXeNya4T5Clk4qSBL32K7L7o48
maHYZWg5sjW+d0Jp4wxDkYuwhPRoWElmPREzQbJ3AvO+1YmYY8wa+RhvFKTOc5QZsQigYYcPk1na
z045vOYgkiN+1cPQhPZ9t0CaWuk/ANEgfa+s4W5UTs6tBBsqoGHkGdf9aIHi8TCLXloH5ldXd/qz
z/XprABfmJeyhLXRSuyBH/wdp+YHRwfbDhvg6VzwRAgMzTAuoTI1sus1/1trSjggRNQgZxkKJQ/I
5XAwWlNWv4qBUGA1tguSq01XHx9UppqFfBV/4ftP1pq2UERGY5CEa0jl7Txq/4p6pj8o8v7Wruj5
wdYe4V2b5ZKe5xR+4X8aUtVE63IBTxFSxJ23huNhm77aF6Bu90B3sbhqIEuU4Y0jwykoV23SsTJK
YN+u4s6XRKYmCTayEakVkYgeg3mzjrSXvhf2PXj1grzRXhgniRhR3422gXg7y3E3DFFvPMsPXFE2
6fw2pM3TjVfn2jcVjwsoAFoUJgugKqw8zjUy/N3H62uXV8WZDUEK8JQ8mFjxSV7Aj7imFSrHrS7h
g9GlDuvKq9WWobO2gR7cbUo1gFlxu8Q8RR7cZiJoOp5rJ+Z2cbwPcyNTe4dVg9jGtkvEokCbgjgl
VAREalC9lFUdBokln2CfD5gb2tdaA5u1RUDpEYrLw2bfE7zwzMKQDIe+bclqWiJO2tZOAC7b9j2+
yfxJaiK/j2s5Pzd13J484ogfUjV425i7qxM0RSOoyvroKmwgiqckA5GDMttXWs2X7Tkp9BWIt8l6
IHcatRa4KluZbbmz8cysMM1hLnX8zlkS1sGTluO886zW3+VMWL+NjhhrtIxFAb1BqCkOIhNK79ZP
9S4+ZzlyH+X3rNecyqGiYnPHABqqg2SPsumAK1/CAupXolCKgmhiD9np4XXhFCi1YBR7O6Pzja3M
Y/GU9162IyRKq2CwxmQRT11SeLvM0Nv7rrKe7S4ntNXWP5XeNKfreWgWhyaEGYXMMr8uopBMjtZw
nG3iwcSxXEbPZIeVR2xbFpGQvSdJA82r29ZRxV0L92I7znNxayeWcewjWg5EkBF4IsfaK4qjDVtb
dYwpQ3LssaNYj7ktHifGeiu7mL2JDCeeyiNoeUSquIRLE7HW2gWiu11GXJsl7CwHe5kq5JEtPIda
tNe98CE/o1+8KrXRvsWvSQp4zGJzpbut3iMWR4m/8jTfOuUIQXvU2rr7jLgsuQ4NI/o6I5NCRFAd
5MxXr2o/C0pENuMqNdhNruZU0Abp/Mwr/RQXvQZSs9xHVdHcEw1Sp1D/jXjTx8CKQFWX6pFqWt+o
tEG8Lmp5VNR6T5pjzzuzwWjFBgoHJFmFta5tylkRZoNem0jQGCGc6Evb4FK2ke/1+agHg4NYfwzr
6i6eVPvJ5/2LgxWilz/UReW2gaMiso/ClE5ldnq0naS8MIEsbUCdlJv9WsV4a4hyq+Va5mb84LgY
rtf049nalEV6NZDAwB6YxBIKbZPtt3BYj0t/mHaxHpXrcS5eK0WkFetfk7SCxj1XcPcesoxgVLbT
1Kc++neYUmXegQ/2lLyVHg5xFwttUI3czEECc1dqnT58+bizNFkXfvOnIjtCX2oDExM1mQbLVVRT
W95PjEueJOP+AFkst9VhidhF9cITRlZOuZsibs91STYUl8NoXmCUcCDq7ykoSZ8R63zI1PWoj3gg
41HzyzNP+/lMrDEujYrZ6Ia4AnUtPTxBf5dL/858nyEX3Ix/Xi39n/z1y+vP2ZHff+T3SsmD2Msk
HsCQAYzVQT/2Z6XkeQz+UZZhMTSpi342GkLhcIkiYkZpOTxnqdj+AB3B+TUtwTjKoafQxX+G7P11
MMlv8dgwYKg0Fw3Or4NQ9n6m1aLL3CMYttj/pjNPGd9q/8XA8NfJ5HIYlPmYHD1m+4whf67HlNHK
eVCYGFtlGQ8E/s2B6HXvphgHrfgXq4RfZ7scy2dqJ3Bt+9x9f4Ua8l2krT+IcD8blX+jO3K4RvUn
jpYCC1vzLIn/xQGF8Y9vz2V/Y9gMXz0Su/WFdPLD4HXKWrshTzDc48VGtx82VXeqZI8Lp9IKyLqe
P/pPPMuFudX7CCmzjax4xjkzmuWusSPMUANbyxUIDLrCFHSHD603Qd4i9S/llMhTQ9brrgmZjzAB
TXaYhEwSyKbyOEujuMuznCewJrtHoyOk0x/A8GohvjpM1MnZQo8NvC4q493c6MUhidqZXrYt7kzN
Uu/wINRTnFnyiebwGpRJsiH8Ao1uDc1WESpyjWPV8fC0i/7ObPvimxKqulHQKh7JTqFoZI6ytRtg
FkZCekdfleNerxAqN6oht3jQmdo087gx4onosU60V67RVWdwKSMJ9Jl41fNI2+cITwIltXHfEOEO
E3HyQ4fYB7P62noM2HgMT2hSVAy0pRk99PqetdWpbV8AE/sj6TaxdMHZuvMYje2Lb5v23J7isk63
7ofmePzQH+sfWmR9kSX3i0A5XaTKeDvNi/+hXyYyBEax17JqNj4UzgVgTijTi/BZ4glgMrbIobM4
h1WdlFZ+o3/opUm8rE7uIqKeFzk1q2AkM2EiA3MRW0NTiVqqWSTYOCQv8ZRg+ZjS+RIvQu12kWwX
bjVsq0nv2LQsiu6pcoo3Kql4R4br8iSvgwj89lXkY0VaGcqOcW/y4TArza+bRTZuCRPeYZmok/6h
KkdrlB1oQnS05oQ56Cut0u6tRYqO4MTaD4s8XcxJdtJJFHmLWqf7kn3o2NWHpl1jKYSDhgdxHDpf
my5fj8Yoz2XOoH5y8zeslZSC6OTDRTCfZdGj32oJJyliem2R1SutgO4yjaTOmZZOtAbye7furtIP
Rf60iPOZYqevWJlILkW5LxYJf7yI+adF1h8uAn8gIbf2h+afHbbFqc3VMy2WAJGxAMCB9D4tdgFb
at11tlgIusVMwDdrf6mnLLtJFqtBtpgOGpC5GKLI22v8ZNPjTNAY2JxxiZkbc7EtMJdWm9F3xvvy
w9QAcGY743Mo8Tu4H86H5LsNovvwRJQf/ojwwyvhfDdOzB8uCrUYKrIPb4Xz4bOAx4DnwvvwXwAe
XMwYKPZwZoQfLo3su2UDjO1i4FBahdprHtr0waLniSj2jHRi4PngkmKAPAy4wTLXochBKwvKxW70
JZXUI4N+HJTjPk+aFXlbd85M6DEoU1CP5NrsbdsUdKpF0dg5WxAYKroMmc3fFMBcobE0CyeyKmT5
f9k7r+W4lWzb/sr5AXTAZMI8nvJV9J7UC4IyhAcSLmG+/gxIu/tKlFq6u587onvHNiJRBSDdWnOO
OVxHqNZBXSrAu/FZEC609RWoVvliq3g5CJslTFSqgWNgP6b9QI5gPdI++eyNMbu7uIs744RsJuqb
O1htJTUqohqyF8p12V2gi2TfYOZeLubRuTAxsnrhhPAndOwQMFvvOic56uXUOWv2y9LAdCw7xzkN
REmdE7UgD3ZhmPhhM8y6m2IOLPDiFYGgbb38a4+Y1zt4F8Mn1y4pZZYYf3YiozhX5TiHVphIFx4N
WHbV4klOFndqV/RLCDIqZga7P2BTFILMIVC01g7XeUWbF1euVAGmuhb0JulUcFyMMAw+jA1/V0Oz
vJtbNvAYFIxebTSxiDejI9QX4Qr/nA+CMxnGWnWmMPzOm95FHbMFOFcdfTMPrnKZuK85ukjAy7m2
dmHrkbgHvTJbZ37BZzNcxX+Ti1PX9pv80TE7WEdZ6s4bf8afGuFrVaslns1i8sBgzLjNN//dBf5/
7QIRKtOz/ffbQArVTfL5R+DEt5/55z7Q/Ae/gs48yzyAB+8774Hv/YOV36V5ZdFT/VZM+6tk5uA9
WCgVX5XShOA5/69kZot/EEcO5so3XXrlCEf+TsnsfUMX9YlEamJhY/gmRPlxBxNxcJx9VfVIGHuE
nnkWFAW4mDg4FxxCgQTJpsQgC8h4E8ScSb67V79QYLzbPyGhERDg0GxjgSA94v32sK7xHNIjIv4T
2djWmwp3ayV2vpm8pPhDV/eXlwp8yfYabZn5XiZBiU1bViG7vbDYR+W2haoWvO7W8cHb/P1vhaYn
+AoRcUng+/Gegs/K1CREt8+Rpe1HOMCbBqbuuhu9/lsx+9/KZwJ+1Xf6gq83EFURzlqgPeD03u2v
R91B+5DcQDLcaR9M9k3Z9O7bCO4D1V2Kkh293jK3rZWJkfX335N38BcX5xSxvMVwBt99T5gFYeiQ
vLc3KgFuKB3jbWkB2/v9VX5+cIhuLTrxvnBtysvvrtKyILUUUft9EwgX0Tc0N9peY+0tZsii/JNi
Y+nt/3hHETgwtqh727wmS636+y29hH/kxFbX76MJ3lycNV/AIr751EZWVl6coX/9y6Dyb5/hz7cR
ORckVjQpFiVw913NGqBcOkBT6Pcp9EU290HOwwqq7e9v47vTEW8KV0EmFMDcxxS0EG2+/16C2LoS
qlq/d6BerBzDOI+M9mqybJumZiH/cDT61V38/mrvHhrH4aiOZN5zCmBjELKNiDTdSiLn1aoiqJFQ
lezj77/gV1T5+yeHDcWF2+vSVLCYt7//hlOcuRSUGXYoUMSVqET+GJl9eHSr2T/0RDRt+vrW05O/
JvOq/ex2pn9S0jn0MD72ug/0th/tAS2Gpz6No2McJzQ94Ca6mkwVwoU9JMQWtPo/TEzWL56/YyL2
gzhM8+SnN85vaV9XHcMoGXqBlX1Z+yF+SFgHhmOuEhrVa4V8dONw97Z2PooP5uwBpbd8del1s7OO
aIBeWb4T/WGAy19+tOVkywiX/P/dYEgDxDuzzDtMsvGikpcbOL7juvape7Z11D5AvUvX5kD+D1IJ
hKdjmTbnbYgCf1OMHcIeEMHZ0mCosf3DgFcYV0rfRLMaTWcIWJpL250NGgowP2rddZvBk3hQuyZ4
7IfEeERZh1PGSep1Iwxvhz+bqrHT+Nu+Gk8d9gPwuHm/7kIZrMZcnsUie+gHvyVjcCJi1JmzHRae
ZDMY3VVFs/1QJx6iPSqOqzHMiXePJ/PJoCm0T8vMICR6essm57bzOxQAXpQdaGx3V/zmcvf7t/Xn
AUJTl40Bo16QMea9e1nHNpK9pHGKXSm+NKACrhPfPFrJeN/PIRHTfWH97SHJFdGEUjtC2MR88+Pw
CJpR+8GcdfsmDI9Wi0WGQnFQolVwwH5kgfv8+2/487ztL3UsD/NkELD1eTettVBgSp5NBxcjVyub
MscRIRWuQLuZNr+/1M+vKWo+G90gYi3TwSzz41eLeuBKg65YBX2afJVRW8dqwC3zH1xFuEsVy6H5
+f6RFVg0i27gBhpuYzarGiXLgeBg//r3l7GWotGP8xjfxqdqyG6R9C757kFliTHD4Q/gE45Wtalg
hOzcsYDR0pbk0XM8YEvBi296TnRq/KfGjvaVIPPnDx+DaudPH4MtDKY6C2kyBtgfb2pdV2JOtEdU
wph726EO8l04pN0Omztgf0fMgvz4Mdg2ZvUlrwbvNutS9PfS1BfFPHOSy4Dw//4z2b/8THSQqaxS
/5TvdxyQOQ0jjJ12X0Z9STis3AZmP4CI6erLsEWkFnu9eskJBkCaBvO6V/i73MS0N4Ff4qcr8y+5
NerLzB/JGB0+9OQhrwFpqLup7InD6hKCqwAznsopvzRMSLv/yRf4WqVkS8/4f1cwDK0moCk0cFPj
6TaiWrGj7Rs9UNJn0a+9dBNSE8Ko4nasWE1xmuL51U+8+7Zxg2OvQhRIfqOxzVXBTTV71b1PIW+W
YXlywEbsBhVNYH9TZGME1++apFZ/+AbW8tjfv50cWKizfvsG795OrCd84Gpq95ORRqdwDspTJ0eU
WAZhkwnxJk6P9ThNzSOAqCV6Rfypzuv88i2gQo5v2wd9/X64+xNzyST7ljTruFskVb78yLbq2gMJ
SU/T/FzlenzCLxp/apt11+sIJ4QdAx6FC6QjwpdNzvWNKwiVSKwBdJHdq3XMBcG5p4smLbK+gPSw
mCq9O9ADW2mmFZ2b4En5aXOwtIShR9f5gNzs1dPmnTtxoUhY/VoNQSv/cM9/3rr5LqdBgU4etfpP
DldJjFIWpkwIdZo/lSF6HWRSxmxSSJml84d94i+mbSy7uNDZ13/NZ/px2Lc5SN+GSQfZTvkWJH7I
qq1TqrJz8IcrLWeTd28SV8J0HxBOuHgdfrwSRe0eDLPkTWqie7Rc0VOaL4CvYuI0IWno0+1zDf8U
umTN/X4c/mL1dU2K14uImbP5e8N9FyUQU1MTU7w3vZD4cD169a0pwrfc6z5y5HX/sEB93Xv+9F0R
OaCR4MDtvp/TUaO0Y5LwynIML297h33PhDVwKqHiOHr+YobFPZY9aESTYnMjCFjSLSEnQHj+8NV/
+TIBPGBlwdaBOfvHu46OX8tYM34Hn8RoU2E9EzGJZJDYIjy0fxLc/2JphvYOcmGJGKKz9e4hu0FK
QbQfechTM+4jZYXruffjP5wRf3l/EWwL3iRuL76YH79V2iJLtoRq95yRm7WvUSDokrw5N/SNIzIS
RqcWODOnmrDUEJk/1YB8i/6XMHH3T3Pkz4dyXC2cCjmUC8+X70X/SHIX+Bg4aUd35jaOvGjXNvPF
pGHDRYVlrFVbEBXoofmost78w7B635TipIcR3Ha52ezb8QK9m6EpUoe2g51wj7g1/qi8ZnFXk8V8
1SaWLNAMVeD9qp5fQC0zoNuk3TqXG0gRYH+K2luS5o1puNCxQ9K23XXEgUg0U59/PwZ/MdH4eFbp
D5oe+xyUXz8c12LDTyZZuvXeHcNm14tZbym8UpANkbX87UsFzJ8QB0B1+NydHy+FO7xVdePV+24O
izdBhvnNXMZIoQzX/A++FntQSb93Kan9NKupUmFU8gn/BmDZ3ARgFXbV5IVnadNRRfxXofH62+zx
vX3pF5MYV6IswhbRo6j17p0nhCZKq54rYd6NgBKV6q6IiEhjdZtXJqCmlaji6Q/Txy+eGmk7LqUW
cnwEbJQfbyVk+7JDzFrvJ9vS64IODb3jAgeuabd/uNTXoIr3KwQ7DRMXGmiUJcn2x4v5maj6aLZ4
RQTy7x1uYVCzCdmt8wYYWpmv3QbxmcuePF/XgF+NHSfHftzOo+cUN4UvGVyJQ43xGELsf7SVzskA
KzO/36g8RxcCbiV+rQbQdBkttnYXxfnSTAANECOJo0aE+gsP5SbQqFd2A+JYcNJLV4J+rwdFXBBq
uYqy2Lp3exwxm1zQotqlVjG6WydQsf0cDPRGv5ALLgheUJxg4jP6lWAJmiRr4oc2h1R/xKobyH2c
WAXQBVNZp2IeR2MPJV+3l7Ioe/9CdP0U3ritlZc7/tkYdsXQtBmweRFk5abM0KRf+B4C683iPE93
vQSDpo3ADU8NQrOD1WSYK6aosZtVECePRes6IAyJykoxtwwReRp9hQluypIJeZOayuY81Rwnk7Ub
gC3ft+2AjGjUIO43lSZa4aww2tCk7lAoe6MKuWyuEnSZr14bUi/xwm5EOiOq5k7JhLxzBNrpdD2A
yr4rE0E66oRF1rs1kTNG+LLR7h3ZxI672gfnvhNl5KIGRjxM8mabBvsS8Hy1zcOl/GcadoD/tZX+
QxrXkKzyolrwgLG2VqlS8ID9/oY6765f0LvhAuHNDbhuXYkGKizS8WAs3C6nDq4Q5O9gXO3GBecb
wvXVIo622YL6tUVGcvmC/416fXIWILCt2leUcgJiGrDgfsEGF/CDhWMMW70ghdsFLuwumOFAJKRo
LuhhdszzihC06KxdwMReh0Bb9AgmS6jFcw2+WC8gY9iyIGnzxwWd7y6oYxkUDTQH8MegdpCHLUhk
f4EjOwsmmdMCzTkguSP25r2EpZwsUGXgCuExJIJ0PaZZz6ai9SDsCQnyACBzBpm57oA2JvMk+Ut2
lVFdGgfREBww2pvZzOrtCBhhlSKYXdOEKs4GJ94kCwoagdxtYcTj1hr8eDfPzYxfA3R0+BUizdb1
NlzA0qW/pE3FyDHx10HzNbvmzV1Q1NCU1cZf8NReVcFFW5DVHmKGo2MmRK9MeKwpUpxsa9wlUlm7
TE7PxQK/LpPw4Elxl/TTsxxDDN4mgOWmD5+Lr5gtjDj+kSyRcqcXCheqq3toSeGpXQhdMFH9rblQ
u/KF3yUWkhc5JOoW7Jq+rhfOV9uPrIugv7qFAZYvNLAJLFhbwwfzF1JYsjDDysLXb6KFIzZ9Y4pl
3whj/V/AMXaaC3+M8KoOpcuCJbN5eZ4K5DfjxvuKMCMJwNrQdB9eSKXILuuFdZYu1DM/s44oRKYt
Orpq5y5sNP6m2o4MiG34TdLgfxM40AFe5A6TDWM/28yLEMIgGYRePtoIw+Yz771FPDF6mK4OTpbb
5FX6jadXU0WO0LlBtFi6yjxQH6sci55xojxrwhytapBoDXdq1WVlvlkyW+4J3xyv7Ty178OizJIj
QSVwuIOkvsS85gN/1AMhjTXFuDhpzY+uGbKfpL6rtt5s5mdkzDafOjzrwFeQYa/TQSbO+TgSUy10
hmCO4j4amBJxDjA+bW5mFJMP9JmKt0aR7UmWZGt9KEcPOUWv5BU9ffVCZ59gR9Ie9x07lnt/EumL
bvk9kwHOu+pwSoDjztfJWIojiqr2iSocbZC0RdcHwJw3ISYq7DmO/PpTrUS2y0ajfvZqPIUpFKv8
6EDy3EGDbp+w10ycD6sBdnYoC9J05pbBkdsABjLiEzdf/R8pG65jT8zkxqOETGwXGuZdxrmpwJVX
8ee7JNKPdTgQ+uvDNPVJtxmIGa1MQWRvQWsQ7V+M9BAM6XDCBRPfwQTLoYw0vb2DBauMxzJYmFue
yoL4LLIxPaZuph+1jdnqIiLJ+CrxEXLC25svKpiU5yIW/FZa/HthJhCKOptYVXYi9clVcXyFNUp9
oHSHtwfY5VXUMFS3JULi3dwTqT5UBGvuPc+LrvJcaQ/4Dw4WBlHNoOLpUoSvTxn0sSsvjtXHRkfN
jZgb675NuN9fw9fnCSenH3NTkX1MZwav5o2SjfoolxPmunRnhVqixj7NnU0Ociz4tUY/XluNqE9f
49xn3aqP3aSaZ7yQuHI8r/5UWYAoMNHG3Na6LMJTRDVi3wcdtHNEpldirg3k7lUQXY2QzuAnukUx
fSYFXtC8V/bgILd1Biuczi2W5QXukZLdE/uYjlBKpSUzVI8wv65gfCtrQrgjq/BBuTFSCdlXH9wI
Q2uHPzRe2cYc4ln32UTKxScUdViJp8YMN5HR67Om4MuDNh4ffCNlXozC5OAofhqZbHTVE1M6g1WT
7MBL06dj4dT5kfAhQn87dE0pLPohPOHO4w98NUlF0ZBDBp1V1a9mxjllrLJ9miaK1r6n289eJOSa
YC2oGU23vOV9rCCYpra8S4pYP4qqA1s7VHzIfDG4+12DESCN3TsjgMm9UuUQX01ugQ+/Jf3tOcdR
fu27bf9oIqm5TZbHjVHHP5eLnbcWmgtlqPeBCADFYJMRX4mWu+an8QTmw5hIOCavxhgXYwNFe7Ke
ixTqvBmX5wjG+Y3VnN2yZR8fAInh2xq0ME7I3NoYtzr+Jw8lSQkbPw6rFfWWlvxxF77HGn4yCEq0
VQVEc8MNb0XMkWuFq7SejuBqEeHHPW8S8QgIaCkg8aYxZ8VXqCYQDhdE114bTkoRV0+LCcME7qOP
eHr9Ell991b5BmcmbRYkqxRD/WZUqfX41X2sh5YsL50iQmbo1TfMFvNbhauwWSM5Wfwjqey/2CSa
Sp4ZwGdDKW6Ly0re7s0B4BEiesu6n+3cuA06k9nMc5EyKb++6ULsZ31tq8tOT+plTMP6xgIcfBW6
i019Me0nre8cmccCuCc+47s0ou6pTpLSvGkMv2WOr7JCHqup4uaRlHDBmTjckSgN9wUtgUfdtMMV
UYeO/2Fu/e4yLFS013muD8KFGVCzbJ47jcgQ33hRcu2KVu1UKdoHrFwhXKL4rYsq/lWrlNqEWjkf
ZRDJnVA54RFiAkvt4OKU2nH3Fm7tFR1NsckgPirscLDkyV4er9mE4PsQafhoY+4j/626Awx4oT2m
xNE0odx0TbMZ+iC9hIV1MtGhE2mlGi6bucDRC+sy9hATQcelvW4mxsXoGuoKi2d454Z2dQxGQKRM
ugVk/ZJmY42C8yiT7qSnKcdB2OsLMxqa8xKL+SmKy2nFVp8tYED7jxLqayBjQOBeCa6/0s5nnQui
jU1rz+rEX5y23pautVBdxBkRBOKJ/fYSdDRWH4Nh6TNV3S6msnysw8qjWxazIdVpNT354xDdkrA8
7LxRHbBT15sAQExEqm118If5lfpf8ZIV3oyWqeImodOMmOg54ay9aRKgY7KsPWaG6UBVNcyrrBBq
1/Y9jS9rkR6REHIt/MyEdZ62d31tuEx1QXTbt1ykl6F33ZsBbHTOMSsOpeI1SAL3EXtKfkjwaI6p
Wewpl8bsA9nKrYpkQsmaDPEFpLtwXVn2MXRm62NshgOECAObIEL3jZ8g3xs0g7FVWMuBUgcgcSf3
jM2FeEqF3JdyrHYMJybgCnb7KnLB7Ad5ELzprLef8PRbl0ERzKgWCnGv4jFdj+xhd5K564z0yfzR
kp53M2mektSEVO089oWrpmuiLSkQ6stMq8leqwjVa53yGiRlHmFdGEvFtKamGIpe2q5HlTZIt2JC
pIkX6D2XDT0i2dd0Ink9GspDl9XAsKQwzivM5jezaT91CVRAhuKOkGEYS/TY2JB5/WUhZPiQZxXb
DAFhnCkwXSm/S2590os3ZMP6Z+2UMHuZ8TaW+Lozp5FXhQL4tMaKZNG0yOfjNFWLStlg2cG1lDHg
kPGqaEyv8tSJq1Wdzjnjrik5luZoUUlAqgZ9EYRd+lzYgkQTiwI8pbWKFWtWlDT6xBivg9Cpz0nS
wrzOygAjCPFedgqGxLyF8XhqUm88hATDab/NLoB4EklRwpBrBREDEw2eVTm0HfzPdFq5bXqwRiN4
DuiZcs55bfB9rotYzutauTiFvBIyjNad9TxOgjR42/tIUvmXkKztD+xYc2KjyDZPsWc/eLk0do6G
8d55fXEzuexYcoTMNL2Dbl5HEMjgQJnjQduFTk6GUw1ioz2z9Q5eRjogk4ZbXRmE9eEQnbzqivIN
akHbT1Fc93nOJFRZQO+KIi1v7NovbtyEOvIqmZhA0xg+c97aCKvbNP5ch+as1jbRj1c1KoCTbIh/
mITtD88NOx6eW8Ihp4ARwyphuGBolM+KEsBPYbWkdjbnlr0QsPlPVZjY9+yPOZmCzBKnKBvbzwXc
zc9t31JEIDK+eMvEIn1s5y78YLaphZK4YaWvBLy0th7DD3aGf2YtwoSIBzWH7WdUk2jk7VkHHoZk
Wd7l9cjE0MYw2gCmdbraCVjY8aYfY16P2O7Z4FQliSkxslSAcVEVfpCW5GcChTlm4yF3lhtRmrxG
pYOHf6NbPuU2lcilNiUqLW8lyLwtQPOLsj1LZtlxbjRLzEDrAdZUtGPzym+GmTVWRwGD29/EIpiM
vTEtW4CODmmImL0IztPYJFTQbXBjrvPQ5SkZM0sdcYl9+EE3GjJ61AOfWYWRRNfY91wV8sFEaiUe
iA/fbqbUxNdieHasZI3EEmWaZ81jRXaaW+2dQEZAd9w2Ax22FAUcS5R3Ev1Yuc+TlHIPyoKEA2ZG
qruyqAJd2bUcrR1scnkGsbu6kwOKCh4h/db1ENaLTtOT1EMaTPTpWYuKQe8LROnxRaA7/aZdaqPY
g6QC2GlY8X02aXtf9mX5VFiBd5ORHxGulfLN+yFW7XQYKcOHV6LnSx9sbfIZ2ZXzqZMy5OG501ga
9P8qma95Joxdav/xtKEuw13URsefn3H/fE44vWCwXiJvpla3X5IUfNg+6JuaBkZA1uOe7Gh7XOcm
42c18DjnQ0n97wSR3gADX3Xs6GRM7McRVwRFlIbeSsrkQhoMQx3mKz9rsH4RBGEigy39HlmVPY9z
foUFDHLnsoXMvdLuyFC24wdC7jHF55V5oifdHEB3OjdF5I/ED2XJ44wh6mEgVPhbG+y/xu0/GLeR
gVKF/VdlePPavf7PNwLw5WsBN/t/m2Suyh8lqF9/5C8FKgVUML2mdDhqMAa+GmP+Sb+2cClhUUIR
gtoNABcV1n8qUD0UqPyUzzbx63/hMyAhXtLXEafS0PFNfh3aABo7f0eAivKEKu53vTGIXpLPtTi2
ge7gK39XUqbj0LZj5g7nBKXCfiAaceiKfFlqmTbOKqV9m35NjdKp32d2kRfmU+cjXNhmpSrae7sQ
HXAg5E+8lHmTNmTXIt8ua+XfJW6psDcQuFAmX5uzoyh3whl4vZH6T4fUGAYjXpdI5wp9bPq8YHxB
+oBdqS7KfGJZJi0Ajgbe2/Jchul4wtijzSNhtNPFJHB8p06tTkS1ATKt9H6otBfhrAw2hByo87SA
9sC2B2W2hB16H5MhUlLBRjq/CoqBZYxufrAdnJqSIHhMljE3d8fbOdOwbJS9DMau1RcJCdvN1o67
AYi97glZCuBX5fty1AQY6CaH5xVUydGlAeBdUn/RKYuOiSnDIK1m5aqp23dNRiyTkVMZiQvBlAii
cpfO1LFXYEP5xcuOnClAh/rKRlHw0g2TdTu4cakp3abdJm5bAiYiNTHVwFieV21WNJsUxeRzxwn/
MZwrJvgmqhVpE5U/guptJF9UhGZvP4cAX88HmuZ7uE3NVliZ3rqRqjlrWs35UFUWgXXCG6DmOMxi
nH3l0UXs8hiwOzuHJUn/O0lFzda6JSYBFZglNobTT+YNodFbGxl+QeIGeSduJZdqatp5aOdSInql
LrQHPVnAajR7QUidS2WmrsjMHCPd+zt7GIbt0KUk4US2jnaT3WGyZTlWcm1BaXzjZGKC07VYICSj
cbcYfAjdEdMrE39g74KmkHskaerOKpv4LHO7/LkC8LEC/mINa7CS3SHX0Ng3duNdUY9oNrhMw20T
V0Bsl0gPXhprtDTRwXm9oxY+bmOvCa5GWcORCZt+3dciOsVBOHqryimyOzd3oGXIuMeQkxrVccnf
PXaFV2xc6YUfGA2NxlxvBR9R41kUNNuOvNuoqynl5Ul/HIjIgYepgXEGZdje+UJ/MumEcIjw503o
N9S9GAHJsfLgy62naMTGH7m+dQ7ETmCil/7LYmzb6zYmXVa2IN83UtPlaPFoQMsL63sp8uay9s35
I6HVlMvraHrsE1UcwhlzCIQBcMQrZczOFgg3YlRCrS9rFBjYw6qU6ratEwA6LbAnixLAgxvVnC4w
vx7LIImeOsxP4wpkfn6bCWWvW+qde90V+67yeQ853nCKFZkJcqqmONiNDgnDrHYDM0tohWcs1CmH
ok5dsRELdq1r5l9KK5uOeO5IHY1r0gTHKSBCpPuUmkR6Ohyv1pJwz0PK0YVII/t1HKYnmTfIdrMo
GOkT2cRHb2pH8hwJ6+Po17vX2LrDiMtm0u2n/4ZC/LW4/XFVlIinfrcqZq9l+9p+zzKhi8bP/NOY
EfwDkyjihIBm5tfF718G3UD8wyVI3HXtBZ8AJ5DW6j+XRXD4/AhwETgoCxnzu2XRgcyJyiHwF8Mr
y9nfWhcRMP64LtL45H/OsjSjdOOTvuvv1mhUeK17cZS57697aejLBmTAfg7j8ZRHtTxgGUshvQ3D
9FlWrXdOeM3C8Las4Za0QnPVt8p4zUkfvMgQ/FzOZejcuwysiBUBeFbUCu8yznV7OxGWcg8nOd9n
vU6OReRaHyoV+ts89dITYoNtN7X1R810ehgNv0lo+g5js2p7NX8yFXK7BFKYjbUxs++aNuGsWebl
Weg5+b532hUF9fKioiO+DvKwADdQxCdLtwMErIJdfcH5amMbkXcqatynIN7HK7jq+V7l/rLnhVtC
+Wq0b0ajDy69JDMvLMhTFxPcATTGlVPvbI+Vxars6NmipnFpcZa2Rre/CG2KbSaFKcsNWeJqEcB/
hrHw5kxUBcj1wmpq6dJeN0XTXQdIJjAyQMtEvTcCZmGm3MvcVJ8H1uid0xBDUycNC29fZQ+1SN0a
2bFI96oY0wOlQwTMYiiQ7UwWqDy7f6r8JLyiWjzcdITafAqmYXrGouHcRJk/HZwpJVvIodSAO4bI
LdtOdvBi+jNzdOuPnJ1GZCyRt6Nxrfce8Zcbi3LHStCfOehysFd1JvrPRuCskkYCSyQv2i7B+YVE
YPYJuPbMrMpNK2FpZKo4GohhwGfTtagrbKO6qfd1reUbHYdq1abEgXcuDGVScsOjXcTFtTV7M6sb
sOFTPLWhsaUG0p9R6EsfoykJXryFXMZeSJ1ChX1SER9yT2pdcjGjx7vAgThqSg9O8hR2Amp2b+Z3
6PLVvsAWRIIqNXbq/rlHOyp3nJsZ289FxHFsN3ke6i/MpN5tmSiLhQyAMtVPR58Ts2VeBw3vShV1
bghjQeSfempAl6Hr5odp7J0zt8OKWig3eel9L1l4KNZlGSmJJCCfDyMt0kvT0M6ZPcjq0GANuCLl
rYWW4oCIKcCIFUZPRyYcYK6V0r+0a2W/lIHlXtSRyI6JlSvy33OUjUVGRNkg6I3kajiz40HwOpKD
iHYUfEbUvca9TxAf9SVra6vQe62d4Yusx+KI0EsjdVuqtXUodp6v6JdyxHp0RPYJKJmiKREJ+wUI
4j1FyPmxbWGezSal3ip2aY3hvjFO0miRAUJlMi/pfUsL5Y5bv9J/T69Rr1PTB+MUfEpCP96Xmh+K
5iR/8BOzWGvHYAuj6e+mEQ9xcBy2jz00d1/kBaLHtvuIDFc3NAOt+64qj6xg7qka6n1ZsrziNy1K
klzT7AbxcH4rw/zgTkN3csO5PIqsqDbocTktM1m+dFWQHD0kG7spIdKACBvO/eWY3mLDFF9m+odr
JwP3McdTRv9eZs+eaYwPAD4IxrKLas0D9aDVxeD3ayqv10Yz7iDP12d1o/10HQQ7CRVoH9J3v/D9
gOZ4fqPJpXk2QowFmetYN6kZOYcSYhQhbYOpyQ3VzSenm/gkwtwM5ohAwRrGrc4hOLL5cvznzptq
tVLgaJPV4E0VrJ8JBFxbZfQ0uqVJPElv3ejRDfCrE0sVhdMWDEfLEaLqKddDgn+IyEagdpcFig1+
VDPNtWBMAtWYZ+x+1QVJD0Q2WMZzSgGIGNCI3VCSBzhA3BrvdFNSMzGSJwzI5jE3W3PLvrJe2WlW
ARyPZyK04uBGFr57hAdEG3uOjO4m6Qx6kR6VeM4/ry7lvsVc5F+brVt0a1U45qX2l0SLEHIQ9bPc
3RZOFTwGrBqXs4jjJ0z2yTn4ow+USt0DKyK9/rTVl21EWlqph/S8TWHIdJMRnBe9aK47aqQXqTnU
j0aY5JecDdQWGSnU0qCKNjORCFvZ1s5TNhQ2/FK+JZ2kakep1/4ye1F/MchAvdIDWxYXUJnPcZEn
D9SXQd5huA52RHBF+36Os201RUQRWWF8bS1CnYHDMLLeerwze259SWlyg1II7vJo+2e+4CS2GXO6
MI6XDrxobMgDQ8iaJ9vPe2iM/b5Mxu6YBbN6yPtwn1gQcLIpnK8z7QgQqJoUs6kz53TdGyXaj2jc
uXWlLy0d2afAirIPQw1IcbBdKqEWy23CED9rQ1sdoH9QsMrqJnjJXDfZFOVgPpMOEB6YmeJj2BGi
jUX0ekaK/knhEjqpzjd2ReS1VxZV7CPF6HAHZKC9yafBf4gGP9xZZm3exToxuZwXGmsiRN2dw4Hh
spkAoQKq/mTOPdN/33Rzi6BBEDRCz3MzO7i7SSE5k6Vpa2o/TUKIQ48CqiCQuURhwoyWmDfL6YG1
P02je3RE5CamfZ1Pa5BS3U0d1fmhihnSq1GRXb2iIz6UyH38+i1oVHZEZEV4JeT788Qu6FOVxbXW
JVYa2b8QPwzhoWqJnvL7of+Yde6LTOJXM+zfoO2/+NV4W1ozZ4MZoFTp1MWxKb1p29TJPdgldSKz
0rvX9P0fcc2VnzC1jk9NyA9qWoO86gkSsYwKOt+CuNa6xVS050Rdz+4FWy00RavZzky5TRbu0hYy
ZXw+4sPY9MPY+9d1V0/uc+uGb30yOT5ntoEHh+PbhqsBx2QdVua+n9j17Mnsqi4SVRvVi2ICZe8V
6I01gnWqsykqTlTzm007pPaGTV52ZkVTeeqbxHuRk6w/mB7ivetwjPMzL5b/x96ZbNWNpO36ipRL
UoQU0nT3YMBgA2l7okVj1Pe9rv48AdRfZpMFq864JpkLs9mSQtF8zdtYzbXuJwf7bElhUa2ndlwo
6IedkzwCAKFy7tTB5CCkMYAVKY04LU9qhSR5YZjYYfolwBe3/RuBAFAxEwqfJrn/qgvl35Nhjwc3
xlhkRuX1gk9OOx+lNIxDotO4kWe9bwMbMY3SWaUhp4yhEGshFrkplijbRvQMTzlBjO8Rbaoz1B+s
dVggPEQuW180vM3TpSNbi+LxTqb+fNpgPkIbwcBpuADOVPQ63BKL3a9A/zVf4vgkDSiyuvNmKIPu
4GUC6lHtxfsW2tIaQ5SrHOjsBrXY8GSRYXfSBxg46kb6aWeGZ66Foi4gz+oMaYpuM4eq/tULdDQ9
BKr2cT3Eu6RrfZyLTJLrGN2xMQBytSrhcVKdRgTK4TUfekorKJDYOeJmgfkEN5IwukqreMJJHCDi
Iy5nrvc3SluFah96qeoU49paEnGs4zqL8+wF6vi/0uZnSRwVxg+TuOyuTd9WNp//4l+VTdv/y4el
ABleCRNqFsDel8omWNG/kCen9Ak4FoaBS9HxNYPDdgGoBx9X6KoK+h/UG18Lmw6/0nJ2mt+lsfGw
7v8La7JnMs+/C5v6duD1O7A2iCok6jBHhU06b3NORV3+jmg1JdisL4Eg1Bhto8abqkvs+TahTdnt
2llkOSjH2XEeoCVSarQwoK3tXWXoVgALBKXAVeEHFPjR10bA8KYxc4NJ22BPsrirOKCQhTu9GEBl
rHFIwZBkEyc0n76iywkEfBWalTHeRB1QADZ2qP7eRs5+bGsoDZHBXrRwIhCfQanGb4iQyPKCXTEk
LU7Ac4svjfEJqeWISCTxhvOFbYFUt1wUCOzj0cG8yiq7dnF+V+04+DSb8YWhTdoQsabngAqwM15P
HIH5U03TYr6GruJzazZCJDxPYY3hdPPH3Lp8D6h+5j78+cIAqsAqw7id0jLB7TEkXSX2lJdtEz5y
hjvpeSXjUAs09jVVXO2ihvtYzqltka9Eldev0mSq4OomZlWmd+XUzmCIFIl6copWDoH5Foj20mOq
NvEqtl23RAguIfNOduYuae1eLAu6hdEWYA1CUkhvtz0A1I8fSlcJ/ngmpFj1HIT2jQSF776jfdKR
mWIjzYrfJqB+97tTxEb5DfnAcrn8+EJvy/hEJpoUqcmsDqV2CHpHxJIZCRMa+FPwSNXExv2xyoIU
fyvQ6OndROglv45t6YhoNbtOZhCFWqEaviFkU3zGOaEEc/TIgmoKCgwOvQvKOEeFE5hEs+lPifs4
tF7jXqAVnXQwzqlKKnGK3NGC99rHz/5ukB3hemwlSLqZSoP/uaM/dMAMKzRUmSnxkPUIt8+beq6M
IQUZtgTz+Mm19K7x9oWycUnUJTQ/C6Uz++21bIJCTirHfsSlrI3lb1s3KIkkK0zcT8Oy1kOczW7f
f8bXev+QzCFaRZq0BefsmEWBt0PbQOdpHyYTLBKIZpV5w7fANmJG9+PxPOKw6MnkP6uCwJRiRvnm
0YAmtAPSERTAY5tJJ1eH2A+Km8zu2KPWHV4MYfV18pfAzM/KmBTJ3DpDlC63SauqSqzIHIIJO+8E
VdGrJIEGhoo8RZ7sLAWoSN0F0qXMm08Ys+9ejGbK+jB+eDuQ+Y83NMtPPXuyzeKhIAblLhrDT5On
wZoN50dZ5mj6bijFl91nrNgjAQEGy0H2GCUYD5kMmrXH21ZggKCrGse4B/hs2Qui4g5UszUlhagx
15bAszo7sExSdTdDcJig2jdN4wO1MCZ7uAYmNTYFSMRp6e6J7jCgFYVrw3SAidd+JvnCujiawNyg
ggrGMvGpkVrH7xbn2arJ+6a8j7wY1YFVgozucomHZ8OkWmZksoa931Yt5nUiiFlNbSElh0EB/4PN
0k9lOD8wAfPkyW01SZTjT6aIlw8WZIanlw0YWwZ2F6K9kHg+9AHMYASnUmYqyqQtb6doOpdjuACl
yxuJ8kBv0UYbRVzQnqfMu6KZ3k0/wckTQqyAXgSMhY0QPZu8ucRunexsWTus7zoaY60wKBOYHmNv
4XApMAFbLln+vgN6vWBqNgvuZuOK1NIvep1rWT/StqySYtu7U7bcLsjFD9eU5NzhW5vwL+MqKhJ2
kFUUuSXvzAb3waVzEcWImyaiMljomIiXPAw1gSSibxUVbuGsdNbBJ10rxktuFbuqzQEKwYnrrrpR
6ZbkXE8JW3DbQHXF0SH0ubQRjz4fR95PX82gPuVeCD+N65/E585wCORQx+eZLLx5P1qYNXyJoFj3
p/3UT8ylyQPxM2uigDV/8WgKcViaOKXzv9oLbFYbGMeutWmbIH+dHl4fwEm6iEctEC1xk40Jx54B
dcyC6ddOod7EspxiUL7FJ87lf7GqZmCZmJVCxH39jposrNkKvC3iaM2UK8dphcC/wxj0Ip659FRF
bI6zKHmm8GVUJSLNjJzjVT0fGMcuSk+LrOlpj1qRr68oDEXUNiPMz7BUIKd5PDZ6PV1KnF6TJ5EC
hWq3SYBL5beiwyRO7RKBiqS7qkCusaaGwveZNaHdZLwzMSGt+4TEjRWoXRd2qSdODTnF80Od013D
VXYaEq7vIJdkBd+9zHQZk0X1mPucBAj6pfE6XIBwepvEmgS/m7GM0Q+R+JU7ndcioFq8LQ2cyRGX
pXvG3TWLQGpzW9qBnr+NqCU/AbuvxXDqt4PkW4CL0leFzYKwSsKb7/BZXDUkyNzSzNPzj2MPCjHZ
SD9CtnTtggufH2avTpkpYnFdecAYWnB7SR57Om4Dy4/fTYt7r/Mj7iU/oOIxK24rkb4e43rA/eOp
RxaZ4Vw80I4orREC0lvrJsn4hKarp6gOrYfryiv4b40vKAtYkeK5F4SOC1GGHGPW+dzMiPSuKA4R
iCW1aPSSxtOLL22QnedNOC1xY7HqKksM13QQbEaB5qtG6QwTeKz8HJSnxRfWTdtwf8g29npWCzwG
uw2o+8VyDpOH1hItb/MaClys833srPTOFGVRsuxcEz3C1A8rseuoAVBWZG6DzwqpHy2XzjxPTH+v
pZ2C22uOKmBBoDCWLrhyZ9BGLCjiUfNDYkjEX0srioEmE6vrN4xm9GziIcxaHowTqBaA9lZTU3cl
qMYMbN34JaVZzj0GBr35hxoGcenQILMARqIplMC++I7VUCAxvGlLf/KQYIzlmG3ZiNlutp0Ik7lG
SaZHngf3DdejdB/YboeGuUh6+plwVNhm3YeFJrGM9GY788x+MqULRThkYaIoPMP+rLfURTchW8rk
iRO9pSiQBHW1o6Km56UJG5g5BDWnTsMv5VIu/K62h76xLqCzs1W2NRQib5MD+RPUuU3D6uuLdnRt
ttykqHveEjpTNmdBOecj3+XXpt4FsWfFsGwFvC3ohp3ZVSOfJIWh3bPqmkDvS6k5aDXRLtERYST7
kO2pksCHxy9dZLA7DIwia8GyYa0AIqgbMZe6MlijlO7NITPdy2g0h18ielFcWlpAVigOhexKT8C2
Edza5IEDFB3780wfsvBna6bj5DpxaXAoNzP7w+xFhvw6mXODLwdblCMPVd3hb7v1yqZsVktu6xDL
RAtofsCNiWzkNQ9h19eDM5Y1Bdt9ipgqnNkwSqCOnPTJsjTYnqIEtIFtUgRbiQBS/T2oJx4+Ljn8
5y0gYcUdUwuFj7Ur80ixsBFIJ5w+gOTVI/g6rbFW0r+bZSmYuEs86cDZLfFXqtatQSvl1gI1xhgL
1fgNaOU5C03WpxHGrFzpBY5C+DuyVHVhx2y7m9ZPm87AcdWa3V9gTrIGnsuUXfuAhhLmEFU+6ClF
heucWw599VDlnDFfmjA35HnAnQqMt6u4/oWqqQsKQxVl9ihRDWi+5aimNncjMtvj18U3qH0iqdGh
uSicsdK2CjguIywkhWz73Tg6Hs3UOgqozbq5mVtnIuNY3QZeh+lmzTtq2OQnr17AVRbI80+AU9NB
h/RLM860VdSMs/Gqaoy5++nbVi8BZHSzRGmiltCJVn4Gwb9cVT7PDydsDqhldREnWbZWSzYuC4SE
bDExN8Z2pfyCoCXtSbdL0fg2rWoH5jNELZgAbbkOEzQuOfjcTp22qFviNy2pi6/pVfpYPblhh6e1
Ae4WJSalbKjuThYeoP93GxpsIy0CvzDNvTVakb0LqsnCmLej2BpjkiUc47JCllne9G0NAnaPIMBc
1Vu/NKfpegIz0Z3j0FwY36Qh2+UWv2/oMwgkuM3NooYQRZqsc1VT7anAhcuEg6DC6csHOpjucb1N
pt1SSg9bAD8thR2tVbO0tXdv5YlXPFJWxbCU/kw318gRO9gAgsquSrUCju90wMuDonY8/LhNJ3P3
QW7gaIyTo5Gm+8GtCGuj3xFGB5gDYMsAkpz+qNPNC/xJ0QkjvGhsHia5fI2+TcgeLpCmMC+pro6Q
1ziWaIYAyr5BUKSq5KYKxiaARWGaITHKPCiHaCygq1HtGmywmP+F0SCnum8EsCuOFZ+NhMVdezp8
bDjAWQ6RdPUOhwmBjjBjYwZtskMFCTC0frBq9L5gkWEQkoJMwZLjHElf6OGYqaPzT0dCKb4TAm+p
oz/wrTpzUImFKdF6lkOO5HNf57H7wyla7SZkVYZKfZxvAchtKmhobJNO2xLZeynaofZe2g5R8GgS
uxlrOtAVe1nigQ0dkfAddYdM0Ps3t4MFKUscfGlnhEQFvEX2lLzPTR6UuMSj3uQ4eaM3xDyzOaNH
DzLVeDLOfscAVQVSA5Ri63HiTpswUly7h8tQLt8H+i38rgz8iS9DTSVgLbVOCVZg3/qJ3idTqTQ2
zQayxB0VFGut5s5HL4eP+MHAbmN3fePej2NdAJ61AZ6fhWUycCx2VaVjqaJSOmSJfOCDPiigwu2s
p95o59TfYLA39BlYs4K6wQoXp4mx9VEQYvjZw2cdIj2Xe9w216fU6wkmgRQMsDlNXbFwfTAPxcoS
gcFAVnhA+yXu1jlJR9YbDCzbTKLvoG+NiOnzr5GAkQaUt68QgqQ+VER8Y4kWbw4zxipmL1sREOmp
GMOWIWfJp8D5gbkotaeX18iBaVm3pH99d+3RCOCJRVJYvKO+HZSFNHOYDmN0uYyJGfg/B0DMSXqI
KjfMxxNJODpcLwpdkgj16EoXn5oGlEd0UpmFDirMDiFwiC/2rBN5z62ZLDn1OlDB8Wg2qtvI1CZK
Ce1AR/NDWTWNczCrsB28SzzCcCo+cwNlcj/zIvU6EAK6PlaCKUHmddZKvUTwH9EFL6zg+UAwSB2o
WRmpcVyjgg0/LOgBvOxrW+FftwlfTtdoGEIOTRpUBKprISqiQFeg3HMYOlfPR1CF2urBZASSp2AB
7D2v+Xf9aaKSZrkcM09xXFoR92WvI3pk3At6ppAGN5ao9N2+LI+0c3gvGXBsXmrTsvHlZ2ISOC4O
3oh558GxFI2LdV4zFyCXzsQEyU42Us/drLD94jwfrXDoNmHWYgRzyhfQU91kYwmlnsbhkHOtYml4
BLMakF5HtESH1v5QkvKFWO40d0PTxyIHWNlXHZvLDBb+TI4WfNwVJGDmWW7aOgmkR07GBmJQv5BW
+oSXJJ685252lvmLGG3yJ1f58zTsJ1vU6d0QWRODAm9ERz5taA7EGm3p0Tzax5OfEhi8ZsTeAmVq
2E1IPZB9FWEt+CkkZ4FzhvzW9ACBo14uAVCY5hqoZkQ6MkRN2BoHz61Ef+0umeiNtTFajD9iCTrp
himgo7BmsnSSr/xGB/Ih1kTDddAGIW+tyynolliUG4u/jpuBzvVO+U653DLqesdFB4Kcl74XNMVW
5w9MJxcoPl9EA1BvlRV7snuoFHqoKJGqial/sDwrIlVJPeKol6VXDFjILLBpcr/IV3NdZm296Yah
1ROjGHX9yAjErKekMr2x+GrKaSpqBmTRGbfjGx0DOVpwAdID2XJYnbuooRO8zmMS7gPsBPsrF/Z1
e+L1EyJRXmuTU3CwGZL4ACjUwNaJhSWiqWtfwrX390ld6EjURhaRfWZ8yRqnlC5mdFIjVcMmRcDf
u+uWypWdbf1w0FngS2KRBYu+6XIBjBiuWWWzZtt5WISfStARTHSSJATz12NU0JDbgoTWt94XsNHy
7RT1QddhmlnI9FxVFEf44DIzo2YMyZlrHa8RjDReB/AMVxi3tgudgUgU6Z0oJ52hzy87hz+1OtDN
LZxP008Kgv9QM8IRw/cFDR3lvBOjo4fujQijjvdT0Ok8c4iMDDVKQyLogz0zfW5e6cc1yONyJ2Uq
oCIOZrASbDyB09s661yBczE7tPEdd9Tdm5epkUEN5ej6by+lrUCwB9YNI1pTR/o0dhRWy0B14j6W
gd6fSleKgaCQzZq96+NrPVcD/6wfW5SOFVpJQBiF+74r1Zoa0Yz7wv0k8p5Epo80kWztdDJiGUJK
sjgLF7dk0+gLCWZj1Q9ZjcF11dnk3VQhdGfDJ+XVe8/Lzvza+yiaUKcIhcKhPj5Tbj3y08e3/+6t
IPGJlI9P05x03Db17/+otE9NkGOQo5y7LrYm7oMDSqeFHK6kUB9f6t2cQ78Za1dE5qDBS++43k0Y
BZWIAOrOj1ApmA/B7CXjLZA4vUTcACTGZ1PuuIWC0CpydqgRcE0oB8dy2PB5hBdSv7+rIDTz7d3E
YrvsY3b2b6ENn2veBD7xPsHEzM+/M1uZzVd2O1BkHz/78TDTNcX+nSItbVLHQjTp7TCPRTcNEEfF
L2oSpI5zFFGl8rDTYAf8+ErHo4z0gsnTChMZKDpIx8XrlMCQjnti/eqLUqXnIPf0AQXSX3DIR7aO
Gj++4FvZJJomiBZRdqbJC3WFoOloBnWJt7CZzM0vSJW6nowYj97m2BRn3mvQ1NmElUEczpG/VqkT
cTJ+fAPPwkx/rkBCLWFrkSilvH/QByNLBPBfqeJXHZlzWGzpZS3plqpH5Cf7l7BlaCIdGiMWrPfv
16K44SAfIra528EkPBlfBidPsB2gXuUYM6u4RNePbGHJvIIjoUVW12s3nugMD50mK+3YrdXo6MNy
mPtyKLEKMFn4K4Rqdf0VWibFIwuDB7yrwQYWyRYeR2x3JzGtZXgBZWro2AqWjA67jMZG5Wfdgong
nWFTQGyjEFvj66uqqbgt9VKgbwnt2TXT1NZBU+J1zxGfbelgOUjyhJ3EbMOR8ffCpKEyaQ/ToIss
RUpZ9uPhfzfhlESZDRIEyoNAE4+ndk9mERnmMv8so1oQs4ZVp1MgcG46AngtWX98Sb1a3rxwtlqU
aenRIAznKY04+HPTolGGEk7rjT99gNW8QYiPbnqu1aBT4wJMH3ewkpnfk0RNVqCDQgMmEv/48W0c
P7lAGddk59QKA6y5Y+k/tNaKkXcZ/UxxL8xPYRx2+Y2djnZzZrfdxccXO95BgMBrWpcH/9WjX3ms
QudaZogcUdv+GuoqWW6dROlpkSSVjqw+vpR9tKT5dmThtai/ovMmhHnULdQmBllWDPYNNFDT2wSU
L7twF1JGJdMFqc7pgLzNkvM/RcGGeTmh3XZLKOwAucRgmyD9CymP7t9Xo8iIQ61F6kA9DslQsH9m
VURlEumy1mToMoDXaezYyeC5ukyM2QmfHtDh4eGM1OEsCkNDd4qsIdf7NQlBOtUnhsE+mu2KEpft
848H4Wi8GQM0zwUIcTqQuEMcj4HjhJ2fu/100+cwneFelbQqsDQZ0eW+/fhS4mg+63fK5uUCuHA5
FhFcfDufx7KipmrJ4Bp1r+dr9Q6l03TABI+jia2eLeil954B0mEUiqnQVdLXn2Cw6QqBMZoMriOV
rmeSC1bsdHbeBlQUjDTpjQUh8SpCywPGUDruZ9GTMEH6C0iP44VNbdi9Nv7oFukmkoFOEWtngXDE
74Yy1y98cRKuYjx3x9VLaQJKlq7xGk6k32RiEbWMK0yQ9XvvmlgXll9baKxI5i7SMTp5DlCC5wtn
Kx8pgXw8pN7b14eQDuRM29Q2IA5nIY4Ob4e05gnQkamCh2wQ6kfSQEnc2bRHD27qVZIaf9TtQjn5
X2YvzoJNJYPikNtpdjuEMb5MmrJL0xRncR/Hn3aFanl9E5C/tpfZ1A7ROvIG+xD7yVVOq+1hqGRb
rdzGiOY1vRz36+AE5ZfIjNtzTqRoIVuPkHA3cB78e6GPPJxCFkwgzqGuKzdUDdNbYzE6koMM5591
6zeXklMp3cnMEOdqboZNV831lp54dhvRwz/FJpQuQVJ1lPNKMMAJ9IjsF6gJqNhTCL25X2rT2oiq
Udc25/NdFUHl1+aZESWMsG33dlIU16MS/W0sBPRxzzRgmBvU7X7ivN0+ZkbVfEewpCUsCvoDpMtk
R5tgBkZKv2hC5MyPjVUv8+E0K8othMKBgk2UJH/3novUnBf06PqMTXkNx4GSmLQMRABxx1vDZbiS
3Wze23PX/rLUIm/Qm0FsenLzL6lq462M5/jFd/E/ukK83ayZELSV2cwcQgWJvOMxnAaZo1ThEFc8
8r4QdLCDIt1iYo50l9uY7s0n0+/NAfVyMQVQTh/zxHDCfjv7gkUS2jV+8YgoaA5GaDKvsU6y21We
p+eDFMjTTzhgXNEixJbo42u/m/nPjwlWh5YNm/gxbKJ3Wr9MZZM/1gVcDzyQqnRCVM8C+PbxhZ6/
6d/H8PNTStsGeIB+NQfyMUpnsjEwh+8YPVpY1w/EPFo1AJVtK8ZDLoNqYufBtxiaS7UyMwfAvhiq
ONsPsYOKXdYB+wKs535t3MY/LYxa3XDetsRJfdbd5jnBi90VOVL3nSWvzCEpnuDFe2eQGNTVYM/2
335CnrqySstEdCANv4oc1/aVoXKX6k1KL84afQprjT8/JhpqmtR9s7NCx7wzp06sF97fJ7HQEQiP
IdFhAGEQ4wKjyT4OCSxDtZPEs+5R9nrwo1hEe9RsssO0THeoUmY/hQGvsceuAbmtxnAPWGhhKvjx
m3H07vbmzSgN1tR4EHjgHONHB4qF6BXtg0g9hj2NA8ppTbqatL3ABrLE0m0GmU8H3KSnfhUbVU63
p8wPJXWr86FywbHjG2h8XaxQHgSyY/QncOfKY+rp6yY1zuO5UGdwxfaFyMU1NdDsa2nw0lYujbF5
vXQTbZekbIO1qhCkJGxEnWGU8dPsJvGFUGiopVSKDzHSR19zDIa7TRm0/f2cRf2N6djplVF4HBDu
ZI07YXdwqUUTh9dj5kfJOqpNHiCaLKQlO2ih9K9ruC6oCxXfpWN4Z3E0y78tqtoBUqKpM30y7fXY
HY8tdCrSfZdsVh17eKDoQHsNvPljHUvnwqhFclvFsN/QXitMZPy0KsnHr/PIwYBZBVFbo27BI0Eo
AK72djuxTDtrco7O30mVyFPKZoh7BP1sfKFQmexoRHTs9E7YPFbCzG7jcOrO4tg3r4zBF7uP7+XZ
Peft4xNqsn3aGMKDxD0GAzZj7qA/WBS/w4kGA3k7oiglQlbDps6RwKxNO6XCkZcIj3cOtcINemjO
IQIOu6FO4iMhDeMf1djSVT/iLht06ZcSemG00Xnqxu2hFmK6cCF7nYRoZuHrrrSMVIuzDhInlZlD
JLe8co2Vm1PtDYZll6SdcY6tKA7AlDKMM7dFL21GhBMVfRTrduHI6Y2SDQ6NOW1eIkqRw7zP6qwA
UjIm9HBpet46A6kpsUj7vbOn4gS+jGhWjQIuw0ykXaSND9pL4ccFLVcQdcDgJ/pKnZtl4boF+3A+
4jLRIvBU4avE+JXWCeCUsdmbbmj/3TVl/ANLy+5JxjYSQu2QIEfw8dt5v/8wU3xAc0DXoBK8q+sJ
m05oOo3pb8+lPrDyEeO7B+Ux0zXklZFTqcel1R4+hXE/Y/KBIqQ7VJ85CvzThPU0BJmjz/MltYG3
ExakVJu3i8p+Bxis9pvnF+KiMZidxZnb7Uw0eK7rpuh3swtrv4KF/zNCuaFinizW9Sdj8g8LFu02
astsHWAtffvtzSx5jyTjlCa/Q2W63+G7td9QizPQsSPI4FzsL/qs7k4rWeQn2SSs8w6WAiX2rJsu
YxV5AJKLcThD5kw8gZyvnZVXx+n3T+7ybQ6g17gL3tVhiYOZJqk8GrIhD+bcr2X/m6p3Hd4QWTjt
mkrivOpb6HW2O6T0lNoFiSCvccqnaDEVXCE4UeNeqLK9dfwsPDPVmN7YjezpkHAK7JDvyBjuMFFr
WdPufZlv/+NZXM8VSjB3jzk+fHFLkvLQ/Ul8B9fO+/nPZHlgE8Xvhy5+6P/hz17JFvAmtBAM4E0W
iqCCxrx8lZFR4i/Kaso0haJYjtkzhc1XtoW0/zKpoVP4YEq/kOL/xbaQ5l9Q5TG9Eg5AEBj41n/D
tpBHZTUuQv3QJ5rBRg18qXkcyzj2DBacpv6hLEILuGQMf4leFpXt7sfspvceMRn6c3ilFyAW1xho
tthszempZ6ECZXbetTd46SmwkfR86rOzwZP4Hxou9N9GrDLTgOSWIIIx9xLZCXieOylycwMrTQCe
rf1dhZj+2qcgsOYIuHrWs0W3hd45knxbq1bTKrS4JuQkZNOIr9cmPL4NiOofQ+Zf9+CDVnVVUlt2
knsEDU0AcXw8teCdISuDP/zQ/LA8JNIWBBZXz+byeaBuyaO/JcK6HxDI5m+rH1kZPxE/YnFVqhgF
c/vKAjNEd4nncaup25pN/cMF5wsqCh3N0eDxipD4dcoLczMY6qRpvJOwoC0UtAzN4AdIm+bk0kn6
RMlqWrlIYK5oHrYbs+ZLM4QgIaWHNzwCw2B6J3nctpug4VODyT2Qb8KpDUgoetrFh0TiU11mENXc
Gn3xIZVXo9d3W/2XicS4Nfb7BKKeJizPDEGViW7rdNZyFZbZlT9nwzbTGN6MdsMXR9bc/oj8ag92
jwwSgVV2kJu01epigCc3sN6e5gKJRYCB9toJZqia6YxSCTvQQ5AZFuPgX1NS6baiyMA2gaZFIwd0
m0RJFzDIgDwA/ivXgRekOHLDOqe2ueyqBaGt0WP0RMtFR0edeJZx/TxJ4nqGzy3rdlMpdI2tGYWs
AVePxvSvRxQH1naq9fNN52qIuakwSeWJMBp/Z9GS3pRhPp0qv7MRRuGvqcEPa+SYLuLWQl2kbO2t
Gggt3cCdGCYmFspFwLkd54L5/EQ7F5YnCk4oXsf38Ah49ws/JQHB5WAZxWbsPPDhdPLXec4otRbk
c1shHWzWrb+mW/nj+X2j6UXAAf143Y08LygzX/duefU1BM7e9bJT0wqfWOTMajhzpNPMTk8xVUq9
FsK6m2+yiB9p1t8j8M/7n3xIqxXg0J7hIjq4nhfe/FizTpRC73YkUDpHi70Cxt7+UBBtgJvyhr2e
yeSxGp8HA5eFAa47H63S/D7HT30bmGgbA3V3tjJg0mZpG5zOkPa/5S0yiBw7yWrEjH4tQIvswNfZ
yKCV5iZH7XRTmwP3EEbtF681sClxbRBhNXKkdbfY21SxKKHkn8UjCpBIPzDLcPWlolCk557NQhUm
G4E3wJgE95ltTdYJ7uDx1RA5F8/LS4DMO5hWb28niVhTjzzSquxRXSA+bDeSJjk6pGaBmiluQ+Bw
WIYpQePzuyVm1C1pNHOHQG8hTIGiQjdaIDK3fp7li0qXHbAMfw89O93OwF92VKwybO+Yzs8TQM9w
lvhVLJdiL2a2MSTtuq1c/OXw/Jq7ftQoSaYRGh7ddkDi9w6aiXFwIh6VDjB1lN4yDoEv2L2c+B6C
LK/ASp/QGaDsJFg9JhypdQ4ca20XVnBqNn1xpmJzunAmZ++NyT3IwJmEdyzOgtROtxBROfcX0ziE
DusUNyPrbFb4WCmXSVbkojgzWp+rgwdl783Bs7I5WAvCA5Pc04JEupfG9VlgjcNatsJdq84UG+Ap
qGHabXMyupQWVYFv7RTnJub02CUZUO7WKrTY3EZe3TN2Kujtq4jsCZABotVVx2YC1GRYY25Pg2Lg
FoD1s4rApmEtwA6WK9Qwn/cm20eZ+nnRDrE7oNlgXPPd0aXTMCUaR17ZczIjcW14KwcdBI6dkclU
T+i2wstdp2VmbkgRi7PJldNFr9InXzoMzcwKeB5rDIBT9ET5yt7ivcoCtSs5de3GoKu2gh4Dpigz
gkuUWNF+Kuts7wX1U63457xPQKcjExXG7CfSyOKd1TQPVM4cEhg0p8pa3ealLLepEV0aY3+hdIFJ
jF54OscTopJG1mbWBtkic0ujABXHYjIwmF6y5VfqZPmwcokI3K3vWa2xAnya3NtJOW0sWA4OeCb7
2gnTbEPro0rOZyDVpyCKeIUCedkA6UdL9tvERGgpKuPuMkJMM0CbxsqQPAGCg4jZnOKggwhT026R
JaistVvXxmkV9HcG8viPrT88yNhEDzsUU/rk1cKADQmEZMGJwZ/GQ4eX1c7PUyCr8HFqsUYBljWf
yMHYhBxFG/rxwTmAs8XYZQJgyUVqE0EjMCXb/ACUsDN+gOQe1lEfDhn6hr4AbtJkCEbWc1rHF84A
U2Yb4vJtfMOXA50U5X6SELyNtJ/jGt1EES4pEL3o4+Jc5hv2gotGf1DxDNsbDWYIIB5bkHcNeBv0
f8eqk0hDb/4IAS9fcuQ//WXe5iGv15UA7DWziE7wUUnaRwwVYF/VH6zxebNjDYo4fSxGwnJ4j08f
X+1tvfP1auQUrg23DU3Ao6stY2hIxPH6QzYzQXQk4KeBscWk1nx5rv8lAZ8kAZTWJKP6n7OA87u4
+P1n2vD6F68JgOv+hR+kw1yElUXQrlWx/pUAYFfOHEFKw7KAsmhRrH/F/+ov3Z0DQINeFjm2Kf6P
bS0FqQF1bjr/vHFJ5fm/if/fzx8K1ybfo60h39d5ZviSAjWS5VAG29nfOvO5l3z9YzT+YUG8v4QH
V5lCNYZEoOGfeXh/YE+Csc8MYBfLYQjEKl087LMIeVyG9P/G/P/jKvou/rgKpUu8fyOuAkCgNX6V
0+/uM0PBzx5Er/w/LqFiOFjlwCX65UqZV3O8qZf7j5/i3ebhUf6j001pB4FQ+7iiC6XNLgaUwg6j
9ECCGj6qt1V5lecYY0VYS3x8tXcP9Hw1KKOmh0T6OwtlNQH5g34FALUMHQ0lwNsmV9M2C6vsk13x
ny5FWZNcVkNk0IN+O3ZmSwZlA2M8jJEXXqP+jm0ECL1zE3nFl2rFf2wBvW1rsyXyVJRXqMzD3+aK
R68JpWUQ64JLFZSezlLy0gNxEaBXivOrOpzyfUkJ8JN2zD89n20J/D1pKcOoP7qoEweWbeAadJhT
RhF5dIeGkydXBDDyk+d7C3d6eT6bw0XXi00XvYS3Q5kKo1qqymgO+RyJYJUFRnIwQNKfpLY5rbKs
qS+r2ZoQB1uic0SUP6uMs19V/y4Nv15fKz3QxtZbk/79H8uAc72KzDRsDx48i60LtWEFZO3m46n5
7vTmJVJaND1KEmyRxzBCLHy7ufPt5tB1tbVXI1zRVahEcJHZZI8LYqo0kHx8axCg23186X+aPwLx
IJvjlBKd3vz/fD6wjVDEbQFPknR3WwmnC8Hxz2qtDDOrVyKMnNUcdcH248vSpXy/+i3NEVK6saBh
ekcj29KLTULIUwfHKJoHZGHNcRubJGlqZNdxgjT79v/YO7PdxrU0S79KvwATnAeg0ReiBkryJNth
h+OGsMMOzvPm+PT10edkpy2rLZzq20KiMlGJPKZIbu7h/9f6FkcmTgjglnYanJX10Gi8gnhQNmiW
+02ExvxBDSdNcaOpiZe1sA6qkXXGMuyG/sKpzWhd+GzlNIRqawXW1x27zRavGXvee+S+A+cFC4a3
SXaNXZS/MrtcxrbdrAhc67yWHADDQX61kNCILRMJxHdaliOojRZHUFQXe7Nu420op9ZetifzScos
INqhMYackSVzT/GCzpEsNatQMrq9CAi5XCSDIDepTVqwOtn0Azl9ukQgrboxwTWmmlk7P8pIwJaq
bkkaV4Yzo7lAXC9+DPlIDQThykZqrXRVaHW81TM5WaStoq8hoLKbH0rl0pYTgHsaBSgmoe5Ws8Cd
6oktLqyJtgBB9+qIsqtRLrHasRSCzHKDog0Pftz1v/FFjIduQkdB5WBgGHDI20jR9Nbnpv8TVGkd
LzMnnX6YPfk+S8xUb3U9oJYxkPD/kSp9oA0c0+x01JmNP5hCP8DG4g/NDxgQymUxGjDCM8Ep0sTm
tsxw4l2kps+mOdIRG/tGbmELpIrhOoawoBDF0lUc6G+ikfRFP4r2NZ6GH/qkvjkYtp5AMwWu3krR
T5EM0MvHikdSh3xIeQ84ThS1swhJ9fLiihkjTkteguFP4qFFHLDIiBRy48FKdpljNA8YcYhCGypr
TzpceFlmvb/SjFrZtE0fHvpUjal5aSTF1ESN9KotbwpVnZIFC07gOv7oo4Ub5dhFXBfsDHbHHtx4
LqBOHAaqWGz6zMbXbMTdXVJM7Z0off7HtdMwMHBQHzDfcd6HirGDn0E4o1S0qw446bVNzG64qDTF
pxpBlp7KtukKfUIcbxG0ZOsynRFcQxWRwdHiY7wFWBQcRoQfd3GOrgjNUmRcq6kSb0JU+xtFr/0X
n3hQh1Ei+Vdq7xS+m0DOahc6znMKQb5+TY4Y7DHOsO4wBfpuLOvqopIshYyWiTAcpzRvfDp3GzI9
tBtLyYKLXjce/KyaDsIKmx4NVSd7bViZ6raqBS6WdkgHF8m6/0Kjdmbc9QVUfqmVNsUY2n/0OLH/
SMEsGJSafl+THP+C01pZBW2lK4CXbHmFUcZBuuTMz8OXExMd1vCa4v3G8t0NFHTpqHlKo4wcwx31
IoUWeS/jQF0hzgUTqZEStLGtvN4YcDh/2qrf/cp9IzzI2Da8LlLhG+rtgNXGiiihZpx+fitJI3YV
NqerVhv651rT8su8DZzrQZm0+9QRMAmbxpZWAzEy+55O+I3WUW8Jytq+iaFPAFUw+kONvfdmiENx
hQzevFAGa7xsKsfYJ6WWb5TK6Fwo3OZdOWr2Ukzj5FW9ZFNikFUuUMEKBduh+uJQ0yjJFwSwJNYi
N01jGdlase78HlBVZIpsEcKyuwN8GL8ak9l4CtnCnN+zZsPQMJbACI11ORKFKwr0/UsAPs2SDaW+
gkRU7dPenD2NRRWSQZRx2uZYy980/NBcxo7lu6qVTzt+bXCvKsW0G5Ox2mNmH93U8KPKBfpH0ImR
xc6WE6uxhtNswu0OnO2s46C5OBSUcQNpA6wxgiBtoqZzbcpfmDnmCtFY11sJfje3Udnj2gdiubL8
mUqkyqnjdr7gOQx4GShXk7eBI7966SshmMa65JDiJdyEsYxdhFngF01jQjg7y/KEGndvlkxNXg1s
Y0/5KYfFHqU2xYC4BDJVKC/CyptxkTqR/6dx2vRhbIb+ms5Wsnv/n6u5adyR3lFvESRlKsIxq7/u
p3i4bgBUrGgNFOOKMUzdd8R7gSiJxIb3S0ZTmbB1aCgTtKPqcExOhfySJKJ5tOZCTYe/r17otSat
opkbn5dB7KpNoN7q+eA/xXpYPHSAcDdkPOUbw5j8VTQpMms1nM6+kh1XHtpkZxbtM+UBsUUMaSfE
Z8TGkoK0PC/vCZNn3V2RKMXjg4AorWo4uJdmMnSXiiQCB9laMXgFLjV1YWOC39aoHAC/2V22ixsF
WLtVmGQ5Eqo1UTWZk2TkwZw8J0rMO2Vo5J+i6SbKhw2vrsyo2xmY8tnPYAhZTGXLZd/jyoaJMoGC
v8yFbC7dl5HZI8wbePU2yUEXhaXV2zbVwleHqsIuSWPzLqtNY+8ruJkDk66BWgU0xiv2mxsOovUW
00/ygHaLBNC8Mu9ITZNWBq4r1xYi3wQJxTl4B5PXOFToJFCXN71pQapVqHEWTkNvhir5jVaP+rOS
Ef+clwxwEyv7bmJEu5asi1Wmy/lbzBq+VRu5ucdyiduQPMUbMySpTcStc5fHWeei9yH7tS7zDVV/
86fgLIrgMVL9i7RHTe6S6+xsVCx2N0Ik02GS5O6tozT0I8NxiNBExMpyrmH/9Z4SMfh/RpkfO5BJ
sJb1UrkiAJQCop8wyWjJuItJb1xJxhA9QZqwDw522bUkt8YjhgT9kY4P+UpGOV6xUpnrsAql5RhF
0lLCQOBZvl9cggOtb4swy1fwKLKVlCBWeH/qwkDVUDS2fQ0PcS3nORLouon3Rl0ohN+FBeXeqXcL
BuJ6MAhisKowX+X4XbfZKMA7VZniDrWs8xFjNNu1uL+vfVsJtgrRbYn7PpYnm54NsE3M/BQn9pMd
DVdWgy89Q7HjKrroqoVh5Mk1NcBsSyCK+dMB24rvV4bpaUcshvKk8/qnaroElzJdKnODIoBUkrny
mIRMgYpyC5zwpU6g+jIpjFs4u/k1PuNpCQKBHLARcO4D4VyGscixSK6mdmzWwJSdi9QhhLVNrPha
S0KiWDQ12elthju2n8ghtHpp5dflcF1ZDUu3FeZiAwVEorE2wZKhdlj7EdLe0FmxNnVbqMQISX2k
lZe9INPXzTGo3xMLkK9bJhz2QDTq92ixxHUV0L+o8XW4eAGmy7FXyl3lm7N8CE89WOdcum9kuSDL
POvYMZNiSZeNaQNGGJ+mMEr6Y00E2dTuqL5XZZdvhJKnDzI2M9J7J7bVTqS8oDMeL/WMNpTe9/LL
iAKrBfJG1RA7N+GCDR8mqeDqDvPYdKiJsdqZvT6ubDHWW3tUOwR5Y1eCnXHMbliQOcRMlzfadJDN
gW9e0nBrkpVkDvdkQwZi4fhhd9EKKQaVmeg39CXzBGta5XuNEuubCBjkNrZ9c9MTyTTfEQGSA3AB
IteulClSG7eNsjt1SOpVgWl/NSHW33C2FzU5QKP6i1BJqP1qXt1pnYYmLYmkfeB3Ny2AFsKUKoKK
YunNroS1Jg7op9amCgyN0b/gNpJlKmMTh9/a1GvbrvsVPUh14/sRAlr2JXvdN0hagMFhrdghhrty
MjJXIM5Ry6ig1WJmeAil30Drrge10dbq0Gfzvq3a2qGlwjWI7vsinNzalgKP2WrDg+hcZU5CCnyO
dxCifko5YfQi1ojliBrCajGXBnM2mFjKtpC2uVHq9EVK7jcvyU9YtIgmmbHzS9xgl6SEBi4Mq3xl
AreMFvgn2800xeGvgKRjL8FuOC3GdugIjp2KuxLwPU7HgK7eIlPDfRib5U2eJ+VPKcBSyqqePTVI
o3+T8GneWQqcg2Vqg3Btu3HaqZGTbHQ0bh5uZmOgKVnpN7qNqRNidH1XBgATMLVaozsMNa2HyTRX
g1X7eGjCcEO4b7xGEU41DljJLoiVEeyRqF6cesr2iiNpHrBTYIOgLAKtL9eYJZOEHLIXtvfK08Bx
/FJxWiG7tWoUh66Ka2mhFm1/40/IrwX2nE0shc1akCiMbjyD0Zs4UhhQnuctLjFRv5C2VPV4Bafx
WldEfMjpwKwhu9ZPaGgRMw0QEa5G2xFPSRpau0SP8kd/tGTcynmrPcjzCmkqSDrl0A69AffkPoxs
/TLEnPGYCw0ijKh6wjSDbg9dL/ktiFAhe1Lh5RKl498AQ8hes8aS3c5U9GdyrAuVT6S0dkqi6he1
4AROkpSMqrzLdc66DQ2REYPpDy23slXiG2SjRV0XXhXS+JZ0lv1TJfpyJTuT7aIlnDD6p7Ebdxk0
GCME6VCHWdhiKB8IrB1rZrI4jb0YfjyhJwiJkRTU5g7icLYsQm1a9Aou0qac0Flm9/SHfg6Q1hfw
4NGpOlgpCMnhUKyUj7UWa4AaaCgvZHio7dJgZ7wpHDO7J3KyuBBTqiIb8NlKrYIM3IXm6gmMRMnT
Gvq0HsclU3obRdqSUFUbW4Xu8YMgFXrBudPecIqZ0w4jIvU0SVywKKY3bBXj50HRih9xlVQ/y7aE
0V1KxqgA/ELRtOkKwwdbSyufw5TID7qGmhFlWzT8SmpTndHzfbzr1PYNr14PHobwEtrPOSKqYvqd
l7IJ3shqlqaUXE1Fl8LA16R0IxBeuz2vClpc2UNXr0pxRSEwuIrZDKHmSGPgLrZRXdYBUoCmjtVb
vv/XGd+Cvlx08HNw9uBoF9POKZr2JkFVs9SDNHwY6kZj4bKUlUJ27aEpMX1SBvulx03/iyi4u6lV
G2jwJvpEACkKzmD6tQLWF/iyNr2zHasX2Nir+taQCdZzfbNZm2Err6eum+NOQt2T7ELfAA2zLtTE
HJlc6tZCHehwNo3V4MUY6Y7mzIQLA0TG2g4G656jDutJ4GS/fOSDyzJwHvVB7/dyqagb/grY9aES
d3qkvwL9q687ilovweTjskh6mxhyggwuHWfqN109B8oUtr2pgpiECMnhoWi+9YhgQb+PuqJex23E
B1s7kLtz9lRjaIJvl4yN0EL1hjPIAxNycj2Uk7nDzNwsRC9MaJK5/1w4yeSmdW9TJtTiK2CTtIIN
wlUWKugNb2gMCEZdn9/CYA/Y4UrUmzO4K/aYHcjVM2+sSg6WZmyqV6CUtT8KulC3iPtyhe8+2Pl5
2F4TVRlepEZi3JGX5uSBO06+1D7FiChhaTabjOl2hd6lXKIblg++35pe2petW4gEGkSnpXeCGReh
A2muAODlTZ229+iaoYTQ39tpuDg32Ax+hU5ueXEQsmKxEdwxkUpepjndBVs5a9frWQBsvUrY/yJf
aQUJHctUlC9aFZdPjQ1UiCNAFSYvM/tN3itl6+/xSMdLqiXEy9Prv29VCXmzBCLXuYqAz8Ney6tq
QJxclMa6yikju3ZYO1f5WKf3OX74RWaMziaMmmBZUsK6N9XmbRhIPJcntio1+pmdPPW/oaJkOwN+
ssumikNS1Y2LSUliZD+OsuI44UmqGu/4/o2fqNsfsoC9sY4jyWNXmEK+sX83atQuC3n0XTlmfSVZ
x2sH89niCDLE04VRywf2UCaVM8pEUmsrv3Un7ff63ME3K41CSpLX14GveJ0j+X9CUzNuDFlSD83g
/KkGXXoI+PR+IIuuwyV25Aqycz34tKIVayHlBqQbZ2hXalSRUiiCbmHnVAC+L4R+rYJS+gUjjKuB
Uqip0Pr6WH/VGuRoULprz6ridKdk3Q/T4dwfmJxuHYtC/veXO1W512i2yDp+O1s57hMHNQYayR65
XCOM+0qtNpwAhlUFmuNMu0WZK8fHlXPyFfFR0tyDzH1cWZ6mv4vaiGT732idKXEBMHoFGDQsJCQD
l9SV5I1pT/Jz6M8nyp563Pe3e6p6jyTDxPmnofn70j2wNEHTWK49DdX1gWRuSnokup+5yqmHyiuc
a9gyjc9jd4o+kCKlZ/Rg3tshSKCpR4LVWCg6oqJ/fkO6DDlXx/VDi3H+KR/aEcnQ5sRR93SW+ipd
qj1R43bx6//vGkfdncgQqsnXWnuKKi4ns97AZjp8f4mTg4Pxp/ByGB6oQj/fh+PEdl+rAuAjC9hl
0MrqTi1yquVdH/0MIYisqryTiZyn1loSY7e1MaqdeW1fPz30CihLARDheGWgfv4NOgA2TSqcygsU
cuJFIWZiR1JdkKFLsnPpnHOwfB2MXA95LGFvhqpYx99exd7KHkut8jKoGnvdHA8W3LMz88nXsYi/
c8YMU9/BWDELcD8OEAdd0UR0Z+VFImjdpiwil3TECyumoPn9OzxxJW4Cg40+i7x162iYOKA+pnG0
C4+pDQWg1OyBN96Xdfzw/XVOvCbF0lU47cbcJtbnDtaHIW9i7NSc2iq8KZJXdfoMVI6IaxISK/+M
0+k4ZZJmKvrCD5c6ajZyUDUR93OptnOo3uV6sMh6C7/q4HTtqury6cdo0Jg2KILWywrl5xKZrP8E
d1daoQIUq5gW0EZtOEtnNbx2qscThCY7LndCG6Qtro3pEh4RVb0qB0YYUDJmcyVWYItjsbO6dLjq
i5YyFiCXFGMSsUc9eZBnblQn0exobqaVSXFf5gMA83Hc9SMEWdJAzPJMm1A8Okh6ySmxb0fSR56z
qbV2BCXTREn9pxrCzNpKRg5Og7k1SQGKDNozSlUmrtr+IFWXgBeTeMwiuwVadjn5nC6zIqlWgAUo
OkSahUEz1lRsLEW3qDvCIqRYat2BkCePBle/FMJGO4uZYck53rpIdLQMceL47sB8vXTIcZmsYFjq
3KHD01KxXDpTI79Yfp+fWbROjDW80QoKDtYs1v2jsQZ6uaINO/JcYqm56KCkbHnrgwdwAB3m4Gu9
9/3g/tr5xUiJsQ3OMbKXL6DuqkBB2JdZ4Tm20LcUXYDYBrW4MLVSbHw7EBch9Zd7PXKCf+QdnRvb
kDTYTCJTBTDxRXxRQ1CWwtbMPc6648/O7JVfFUXfe0Mx47d/fJN0eZmNOPDwf8c9dJojbDrHFjNy
h/w06mZMFOVg1IlxXm+B10W229BlG+GLUbn7/uInpqmZW2bSEEMi8cW9aCVBy9kzz73GL8g67fP7
YAjo98b/Tln8f0oxvl4JfyLfk4XCCMPSseOdg2ATFAq+SFTVj+OY90vVxoxYE1v2j4cp2w0EUwij
kGFgLf48JZYNyX0BllKai22/nEyqL1p8DbHSXHP6fP2nD1CX4d2xv9EVWknHy1YQkTWh4yvz6K1r
nlSO8Bz7kcJuk2pJ84/XZC7G1oatgUFX63j5qmgQh2abcWeSfh9q0mM12a/xoN0HvXlmDzJ/y5/3
p1wKfY7JrTHnH8MnZkb2mEt0Y7UyXWkUTJzCwHiZdjCC825HreLcbvT0FR22os4sgJuTSD6uZJJe
WnYxX7FSuh1hX8/FqNxr9ewtJEJ+EbbqxT9/dWy8gSmw6+CKR0u00XDuEL6VeFLb7nBEeLqeXEem
fOYyXzc2ZEDj69Fx/rH7eDfdfFihYRIMUcSf9jpJle4lK9e3Jbjc1fc383Wq5CowSXCBq+BJjsWf
g4SBMY6VxKth1S047rlwj/9YuXmIK0FXzZ5cOLxnZkn160rJVZk4yPiEoG8ef2pknwkH/UviOQZp
xrNbl7WuTKbLwaFV9y46b0ZArgup0BMcuxMi4ryRrY0YqmBL3gXRf2yLIMRXt06bEKtYlmwO5m1B
VajGHm2M+cNRe9MD0Wqc+fUnXwzOCkacgmfx+MXQl4TApfPpUqLKV/HoxDtpoNjx/Ys5Ne8Z6Cpn
j59qfdlyZnrFMoLpxsshxi6KovNk4gBtS5zbtZz4YA28YKgqTXPOy/n8+RjI6fE0kGqpDiWMD8kP
t4MpD+vv7+brFmDWmSFNwsxqovqan+mHwTwRWw9TXkpQEDQ4kyyWqcHAfdI06UsX6/98F83lkImy
ZGBwRbv9+XK2wBCA6gKObOK/zs+ujsxDVvuP39/VqY9nFmnPYAMOBsfDeGgSEtPIy/DSyLBvklGh
zu4br1Rci3UdGPbvPi3jLSqW5sxSdWrOQxGL44/F9+uhh/qJHGp6l8C6Ua9FLj1PcbAusZfH0x3T
9ZmrnRrwHHvwCcJuwFRw9DRT7tEyy4bg8qBMNhmAp0OvxtLy+4d5hMeb906cwXmYKssRoS7HB36n
VQdo5xX01raXH6JQLtYSiuMFUPbZ+91Y/Y949nO3heiuqzFPrgyCXzahjbALbKJJdykul0rlt6u0
t2nKtm187nSrnHzyQPzmL1MDK3X0udR+Ixs9bA6PShe1QlE9K8IpXKQlzTay7Md2oDphlSGVzFyL
HpK+a7a+U/wi3cKdzBLzcJ/pW6pIzsIcpXLhANo6c1g98a3R2GILagHRm/eHnwd/avEbooHtdp9P
r+Wk4KIuUVT5+PeK8fn7l3biceDx58M2ZsXqF3yJqoyyrNuCrb2vvMoUHJYZ0IxmTHPPcmCYoRkW
Z3YYJz46IFqKyY6GFevLFrur03Gog4LbiwFEgYlyVVr3FDPrCbDIWP2o6h6sqJJ33j+/VwWG41yR
YoN4PFPqkoPmiNQPj7PaVWX2NfLc9IAsOViESfAw2gQsfn/FU2+SR0sZgCQph6ns85vkW+lFo2Of
lOSgckeFTNgc5vahr5zMy4imPHO9E2sON8geCnoYwtVjImDm13oYFTzaoQuQcOt1v5SrosJkZ1j/
nUvhNiHYgg2jfbyIlpYeiSzniKbgEb0x0mpawDs291GrKGemr1NjVOODmn0Is+RZ/fwUO3Qx+URl
wGuy9r4NizfDqGAj8/6ioDpgJxb/+HDEBIbpQjUUFR358QeokKJRqM2Ue5M6IfSx+tu6rZcldYAz
FzoxMaMtliEVUXnGxjG/zw+rajlBxSa/M/fSwHgknnpjT9X990PQ0PgbRxv6T9eYx+iHa8wJ1LEO
o8ZD1ass9Cgqd43RGLdqa+IjS/uGpygTHNPX5bIx4+BH0dcWigEaNq1dJxT/WiRRJPFASByQwQAG
XPX2mHqRJmoi3vTwAF9zcPOx8598wNgbeBD0pgjpdtHC+dvQsFFrA8W/MZQawV5MD+92cjIUF7nS
JOQoNHAzuson1hr92HWcyuwOiyha5ElUX4eDFW6Uuhm3qYFOq9NCAkekuvPsxLmPiqRxecLJGqw6
jf8QtZCHQilbFP1UrvwW0q2Ykv6i0DWciFHcrr9/vKfGJqs4JnwsFPQpjsamWQHuHU3GJlrB52oQ
z5jMr3VNWmtZsQIRX/w3Pjv23Gz2ZqwHRorPb9MIcWMT0pZ7ogrnmtNVrybbXuRnNq9f/QUQnrFP
UPijRmAegzT0IQm1enByDyXpoSwjkhF6+3eV/KATdUlX2m0N9VdQ52eOTNrp61Kl5YlyuD7ekDll
VmVlb1ATKcbpZzjIuIRqXTqgdpfTFY1zzjgVadgrkXTVEqiLQocrZyKv1G5rIPU1yObYanIrrRWh
566POowBV24wftDGApFiKB0HdQyabmJNwdIRikntxZqWAblBaqI3rk380SIRsZ4sxFQGq5jfsxRp
+YbwW7mJCe/YlENfrXF08d/DpnHDRsQrS7LUh0ozzr2KU3O6CTIN8AFlBk2ZH9mH7xcQjZHlSZd7
snge8b0sxl7eJIrozoysU3PRh+scb4xwy2dp4fS5ZxupTC6P2bpZGK6+/1xOLYgmyYL0Fei3me8s
vw83I1fEVlR6nXs0nWwXHNaCw/hjkYQIa5vxjOns5MWoV3JmAXfzZdtr1kxGOW5gRDhmxkl02nR6
uUYGhqBSRGce36mJwKTsz2qBZe/L5jcdR+CjSCk8OCwHtQF3r/jjY5HWbyLCvBWaZ57kUc7f+26b
0wNH/rlMqn6BU01NmfJ82aeReBZi9VCVnU3CylalFr8sNCn09LIS7lA62m1E+qk3BiibgyLKL+3A
TtZOoY8/LHwBaLT9QD8HZD41bHnPGmUk6rdfrLf94DdSErLN6avyTXOCB7Ib7lKNZvL3I+rkdXBK
z3gVc/bNfP48mo6I6RJRjsdJtKSaI57zUeqXRVufWUhPbVspTuFek+d/s46+Q613kHEjwPIEwvGw
QefW54e6MHaxrVynRXUPOuBMoeLUAP5wyeMNazzpKUIdOfOkHrJCW7w5eorC1dzVRXfmzKGdGr+c
SGmSsX2c0Xafn6Pobb2cBitjmlHHXyIs//Sgdt0uVWx4WnHgSiVYiowZeRVVs+BYUmZ5Vo3yx+ma
R52iyqNf2Y3XqsiWsbZgNghFfRdMTrG0c8KnM7+x14PV2w+2way5MMlgWWRSMywnQlG8qVD/yL2K
pr2AOVDKv+KivcKTWK4EW77I7vpFNmrRqs1G9a5EeclirxpnRtOpp+DMTl1KHIzb4wZsmpZNkyNS
9qZy2k4woxdC1h+N0thTM30UEUEl3w/fU694tmfgGLQoth4/9jIm3bxiM+RFlSMhjmnBuxByhEc9
8FN/Dl1JH76/4olbZF2f3cbkk7NzPzqTOOZoZ0LVUo+4NX0V1qN5mYfs0EYwfo9xrUweOqSX76/5
rtc42oSivQF6q/KJcrQ9Gl2BRNIqzJPMM7PJccO+Ne/0EDJLroEZDos0fSjVDJTtjNh41ynboUgf
shbikEBLtJH6HsnsmR91ooiJKoGqzzxrQ0BSPw/5YDDIdOn4oollQM+mBfoaVZq2bvy62TiWCZzG
NJBPGXNqRB26Iz0Z5Ne6svz+h2gn5rDZF44cA34ajbajH0LYamBmIsrwLccarZFZ3Bxp6XRAYJkb
e16XtRUxkkR8FmTbpxSRSRqgjxrVYXfTa728Hkdf/hnqbLxVMck/2Rbnm7BnSGGbSNYoe6CItOHb
iCKTKbtb6WYcrhAM6stayoUXmpU151lYSzvYq0Wi3SVaPlzz2eJEAeUwPYZ265DNbD3J7ZicOZif
un86YHjQrblDf1w4otwWp43QuP80Ge5C/LneYA7RYwRHdv39sz51KdSXaA1wo7NszLugDxsQmk5V
lc3LklNo4bIEzM7OAyTDDiRK8Pj9td7f2/Gon6u/GqdXlsHj4z8JCITiwB3zSiDB9kLQMMbxMenK
xie9a5lbqbJXCtm/EYPaX6mqFBxUITmuDsl1U+ZyvX3/Qf+DbziDb4BOOIPP/y9KYPksnv/XWy4i
MV49Z9DfHseC1xB8BDj8/c/8DXCgHgdxgZ60ScVKZu7kE/0b4EDBZYYx4FeZa6vaR4CD8a+5QThX
SJjz5lLJfwAOANzQKZHgy6inD8XQ+T//+1NLtTn6/z/iRo627jPuEAQsqjIKW6xc7/PLh0Htt70S
GX7VX7XZa9BgnE1fPjyNm7+G7McLHK0ZXy4wr2IfLlAPiDbKgQvYsQmwLVu0znPUXUVM5dnr95d6
P8F++Ghkmx20ocEJ0GBi6F8EcqPSKMy4OGJjI8UzWrJFwCNujrgc4Y0av4jcDGyQ8gQOyhsZ0rI0
uUVqjFG+o+VXBdlrURW2FVwHrR4y42z8GmPniEiRTYRsR9lFW+t4ZveyyRqfEqHm1/c2xri9ia/U
vx8rsY7VyNhxqOO4VxVxtBhjv6LKNIcMLWytNsRC7Qi+JAmv0xyBoDtDTnqHSCLoapxOeWcRFF2w
zhIhPKpohlt1Vytl9IN05Haf+lVroelCsbbOuijVsr0l8KMYuMauIOoZ/S+pkM1FIgUZJhlBLiGq
FV271iVAY/tYOKF0BwE+0vMVOnvfkYjKTGIsURsrraO/exX/M2ucmzUMiIwfBu/XWeO5CZk1SMP7
NHH89Y/9e+JQQL+gJUIigMHQAMn/n4lD1f9FdeWdB8ky9W/qi/MvAIx8xXThoXHwJfxn0jD+xQcx
ty5AW+jsFf4R9fHzSqjbc8eLWjgnSOosqBiO9oFzeCwBfy1ttS7NJjePhvZATr0wFxQ3mjPiyfmP
/eejfr8YrfZ5Q+2gi0Po93kCCQzYbVaI6T2UxvIp1wv1fkTt/5BEoiYYVZXLp4A2xbPTkU394Z2c
mLtOXnqWdNmz4JWH+vnSkZQogygU/TA5A5d2yJZfzUGuw8pqTYQG9qCoVCEwdbqNP2HJ/P7y85//
fOcczQknoB5PAZvEwM+XVzXiW5041Q4pTNbItQnBrlxZtFO5i0BnRYshs+0zZbSj9vz8uLkoQ4Wq
EeDmL5pKfJp+G5SQNA2mrPscredWzcypWnNSdx7mJIELPdK4eKu07HVD0YpXGoTYyiST51DBAt2U
VhAPXiPVgb+a2LQ8c2hsKtfHuq7su9IflWU0FRLBkKWCH3KgXaadKY9/Xnb+ug2qRWiGqMSTWnV0
arAJyWyp/qoHStCMlTZFC5bid1nbzaDcE+s2p78azZkV6HMN8u+rQlaGv8aHwX9+fmOmJFvxYNTK
IVY65T6XJvRR5N/9keOhOozKNNwa73ZTyyHtYQzbaPP9iPn6YVq0bxCNsGVg3Bx/K3AN8oR4cOVg
SuZwC3qhfBqddrgJuko5c+o/oje/3ysVRb6s+SRoIUP7fK84trDeyK1yQEo33Eolzcw1MfQQvX1N
a16HRNefOxZKvk45y9zS6vlY3p3CMbbPM6/71I3TCGG2hEKrfRm1KsuvU8m+fGhFxUeiW35aXKgi
I3AgyvGcfv+YT30k1nzeev8XkrGjowCgPTmStE491A2K1XzETerqBCnuW0sm06aOwYp2TbGvqohR
DtxDuco6Z8DWEitSv1DiqdhLWDtvg8oYglWCNu2CsrSzUgSu6TDsqp6/GvOVGTbSZk4Ycpuuv7+J
o577+wsk/IQ6oMJS4TBiP7/AOA381h4dBTcNNMD1ZNW19z5uBkgiT3WdSW4KQvApJ8n1IrN7Aq+j
KY1c1DmVV45ZQoZ2ghZmM/VTWi8VX25e7Voebr//nSdmQQsWEwIBnR/7ZVMnDWrb0ZZRDsZk8UDe
H7NCztWTIvvKfUVk65mRrR4PpvlUjyKBNr9isKc8ruQQdafGcjI2hx6j2N4QmfEMHmz+Ny0OFq2s
DTe1Zjbmwo98hJcAjkN4vuTx3kVtQp6Dlo/iVcM0fhPLzADwOcuniHPehT6PifdH1LBqmAslCp0L
wmSL/UjP+UJiW7bFOjOHWrbndFd/dYw/Lics1rMglrQ7orgomRwN2omml1VFY3Ao+Kdcpxynehlb
UnxdaSRleXkXdj3Ony4WS9WQcAFF4MbDtRMGUQyImR2yO1ISJitY7VZyhte3w+c+FwCaFtc11agZ
mAoIZond2KH5GfbSj1IiiWlJNhHx6j3pbgZGDjgmS0DSfBn479oVSwBBMEmME1DHcnugKRtChM3i
C+o6xRXuD6ta2kUtt4sSJPtPZbSSa6UY099y0ijLlH1AuFDHaYJxM3Th62gUo7nDqgq0W7B+70j/
AYaLd628qeSwyNwhhCa80Asgh4YFRBpRkiWVD22exv1/sXce3Y0jWZv+K3NmjzzwZjEbEiRFkaIk
ymSqNjiqNPAmImAC+PXfA2XVTGX1dPfpfW/SSiIJBCLufe9rYmRzwVP0YVMkihTpobRHMaLRSiEZ
RGiJKNN7O/ydjDwZbhtEqQSS6qW3N2IY8LGwxZwbRzT57tlOh6zbdCOWS34UPc3TaA3bwB1T+WhM
xINsCm9NyxDKhuhW47LSPQRpXcmtjtwMkXIxRa9pNnDsYoZ7CmaCI0mCx2cPHGJiulQ5BMshT+Dd
IQl7V5FLmdCE7DaUgGzEY8cpoHJENJs5ILabDCEilEPCnlxUuEUVnMMyKAdOZiuzQhyum8EMOsRy
qMPufKcVZ1LnQ2uPhU6dlZsu1+HRJWDsMpZRTzAhGdmb1M7opfJCxrgDrNnfrtzLCJG0aLu3yTSX
L5YKc6LlQh2v4PHvMxaiW+Zt6gDKmOztxWl/qyPlfWHwQDKE32XfWCj6ezok6GGXLG3iVV5PwnSC
84RMOy+urQDP1zqtTSfdJI3W4YaQ3HkTtv03VyAw1V6eds+GF+blacTGtnRvGecgrQvGpMXZAxbf
3AZxHdQhtpr9TBqWX25cL0psfrfsySa2HmGyYWGwMRszwt2wtCIU3NnoO7zdEp51PIu5DjGGWIuf
xdPXtiy50o1BiKiZQqpitzfcdxESn7Qj1QKjqxpk9kUbDLk3c9JzKDD6GbZjELGvRC17RT6zKmmT
0e/v3UbwMwhe797wiODO+hZaAEIayWY2TRnGEzH3cCNTxa2HK/0mcXt6HIJw6bfL7LvviQecjl8R
9WpfYetS1JP3jnozep1sW31TS+YefRTBZwMr5HPg1tGuxssBF1+e0BCTanKGier1eHN0HO2Jsi55
BWAM43Ku21PZlPazML31ixASnPt+ZH9mO0twlXOjOo0tq+df0kXzmcYcnw3bpPXcYJzclvvQ4+JI
ogxRClUOXyEzq7gMjWCLiYA8z6moo3MUtPoKAsqhnhvsqB97JDVceE48DtGgwO4sIW7xm4jWSxlJ
13pWauCPH++2Hgb8dB1MtB5ayk4bOXI+P4iPWqSsfFfeN3VJGmE6WhcQY+syulSGsz1Zz6O1RDsE
lfN1yGk3HDQmz0Viczz3upviea0eadA9/E1mPhSPJK9UZqP6hgGGvhbrn0aJJRBOhVSfZjl670Te
RTuoVOpbV3HaiigVb0VZU/2SOTpfPwqFhYSY+RbHL//d1tT3BcOpNwnQv9N2WHwD4EMonYNJH1th
mBcz45H228S8KEm68ZllxL2z13fbtIKDR7USpj7vyCxMivC2Ffh04r3/liBJIdu+tA25S4Ag3321
EP9EMDZKf6Ek73zke0YIqJArcKnCymT7UeAMa6lSLkX/7Wfz46ylz1xERR2DprjV1jVK7IWDzh/c
u8mbwzNZqe57hg1NdeDY4Q12NoJTbIIarEG62kp+r4yMF28+HiGIlIXej1quZRAnTx/L6TF0J+LG
IsU96pKQ4o6/Is7iACYvl72tXVuVMqvzgzVbFAYIC49A09MF44zgyMdpT85o+FcSnVHXG1nFux0H
IsaniRO3X5en11TWxUwLTqYSty+5K0aMbVyUDcNdh1VudlPjnESV5jes2iEjDg9JOvfITjwWcI/2
nl/hV73qMQ+ecd7C+aYXZn6AwM4aqbLKe8/qiWuqO5zuf24CZeXoKxgUV6Uq8+iMhxsimYgnrPPX
l6+nPtwW61NPgk/3VuBzcCKVVqLBpRATicNdxcIjjCsOcq7DRAkaNXnySs4c5lhz6r9LaHqnEv+n
Gu3tYvhxitfpWUoyQ7D5ZyW6RNeo05SzBXgWbj47BHxsPm4qUvUQ6cSejiF+NsmmEC5bk90miO4w
O3rN+0WTaEA7ile031MU2eFADWTjgvUEBue9O1DMn20jpAeICtoQV4fW8+RILjKUPQu/gKSIqs2c
R92bn3Y86MKayF5bPyEnETXySi3ayFbmh4+Gd5mM7m1hfPyMJYf9nLN1mxtc0qznAVeQZ5KAuC39
WqUtqGSqnxXjx7E5LyYrqiMt7+iEGZ+dcKDo3NihsSkGu44lZmrXj6smu1FHcTHh7BHL9e1kPp+i
JPnwvRt6nlcsQXCyKRseq2V2kjhwFmc/oMHFcFylbEd5ycOFgpbdMVMSz3BGzWhXmjLR1yxPfGc3
jYG4mXMQwJ2HQNu7ajk1covHHnp73Lq8d1evOwtfHb0SDkfbWg3uscQLp0XjHk7VbT36fHdFvIN4
Ak6GXIPRHRd6WQ8XGEvr3qeh6x7a1GKTpxRJ15bc7elXspo18XEBfu5Fa+M+Fjb7wrqxyjTgxPlY
u0mKYm2j+07eaMywf2fOlzx+rE/XHpJDARBwGBuxBpkPIUskNAcWlFeOtwR4kvT5c0HU+PT96IKx
JH9BjvIGpVKE33rnvadQ058/VoWPZG3ZlHZiXUBCeZBFY10Kb0UbSmVgBuPD2mnw4WnYiealNLaB
sAEhpFfkC96zfCCDoUnHcMtD6+dO/N9MIYTbCRHgF8vlI7DkkGRlfjvFOJ7zZAXEkV0hSTgOZv4s
GvIB2O2d3LqH5YSPUrawqE3DsoctBgLy5mMHdMu+xMwjCbjYPQ6qHN99wVVygonHZj2AyExKnXna
dmPPptCmckz2wggjtqthfbfF0POYOWLmddNu1td6dqW/6WjVXiO8119T7yOgcUYMgorL7Q1GnJKQ
ZEkttDyNFq5ON/0wNtm9pQqzPeIeZl2kSYAvTWPPK6R5y2o3rWSRz703UISkRhm9mhPJak2n188b
RNODO9jB0xDq+t52vK+ZkRjbMirUDbxMcxNIdvapTIsfqaMwY7JFwmSTlno7tg4PsOZ4LPKOE2nO
p2XbA3lGVCiz/1oWSHG8HFb6pvWmRWOxWTg4XoXziIMCFoVYitbHvMOi3nGVhQtL69VHOnt901gd
wmWcQZu7pHXaH5GuqBd8GxogEwxWmFR2H+60Vr15K9bN/5YxKEAkUhJqqsFt6WCqpjoarQ0KA+A1
bEWVTMZTWiCq2xK3wK8isrhIjofnFAggoZQOInAcQNmXxEiNA89AX0UW6muZ9lR4WkBdExPPzNoo
l1h5nCZntcaIsjVEzpS8vWQJAJvslvrATSbeKWQxfl6SsW8vxLSU31tqTE6XqIt2xXqGW0aRvJJw
wgr6aAxTM206cjuLji2vZ09rfR0kJ/A0HAayNjqjW3SPUxdZF4bQ0Ss2c+qbveBM7zuEmdCDcV8b
3+b8lFCWb4Y6Zbda/Nx+JlCGxOp134yKks2RoZOzm0XDM1Gt9WaXROG5low54qQDvpq0S8hnhUVM
27PvScEjBJeNIjUxCOxpvb2frjvzsrScQPR2GYK2LP/ujr6pTmjBeeJ6w7Q3Ximis/GzwhBgJAYn
c11i/HsMAmwXjzRsuke5ilVROAzy0PZqILXWtkN6ld57N0vivsLQArLzInYlcB4uSVAYHBtJYtNJ
1D4Hiz/O/nMGYh0vInCOnad5HpZ03Q4+SmbYMD+IWMMFImpqc5+WdRDu/Lm397xy9pxJYnx15i/n
zJ3zl25Iy1jxhLA70+0sew7EIdgEfm2SJOF2xgO5jK3eUk434c6Rjr6xU8/4OnSO962IhuU7Npnj
j5YgWMrtqUo31FU2jiHKPBN81h4qwJUvJCv7Mh6SpMJ8TzSF2IlWi1vP0fklD8iHSQs//1x3ffoE
g2DUW5R8ZAgqbx1LefMlcrrkBY1v+bUVMz/Ja0iTpVJuovRhaQw61spMJ2tN6CDbQ0aj//aBzvx3
wvPvJjwA5CCe/3wu/ITVVPa/4vey7d9/mfH8/MY/ZjyR/wloC3X0zwmPv6Kofw6H17kxSn8SQgmX
hsAJMPbnoMf79KF5/MvcWK0v93/+t2t/AthDHOA7cCTBr/z/ZDjMMBQM8P9hRh66W+iWJlNrHy6C
Cbj6K0YYmarpk0QYJwCF8TFEqk/1gJFUXS3lLlgVx+Yy2ldk/uMhbN1lZ40zHqXkZcVp2U7Pc0lY
r6PwrLFEH96UpCYTL1wUDfJ2qyAlq8l2ZZ9e08654Uwd8fGTtA9u8zoN5cN67G3KKQ23BgEhG3TU
PG/KjTbo6xkeuKWZboRb2U99QzJS19mMRp20vrgobxhd4HWkgt6N50FW30xj2Myh81K0xQ+HKnOD
/+njHM39tWh9Dxmz5zYbpxjqa14sw23bheJEKg4xp1rUuF45Sx4XVaPPM0aXxxof+F1RLP0trr/R
ng3LQWHfLlTWXM6L9NFWUpPOSTxqSn1spAVRpbPZzNDZpbkziZLedp7wzjTyN8Q0XzsTixxCfKy7
urROTaLruNARESsMcXdlVmJPKEJyJM2uxkSb8JiwsSR+9OT95RPbL2Z2W25WfVpoQ/aBZwS3NS6x
GAImzNzdgJB7O9UNfmpMmvCWXmHnankSXiPiac5eI7rjl6n2/CPipvGtsfBMy5SIYnN22uTSydk2
sfHOcjxAhcE2C7CCAehTI52yHHb51IbGV04Lgpo3bUWO+H7wVSE3Q9OqZWt66PJxPwSdp3yjaCBg
M7xEaWQaKAIETiSERInpUJMfdGMHnj4EdUPuZm65wT0Baf3VYAvr6RKIBSXYfVHOuOnT3DsHpTTJ
ddPY4hnlsqI5I/oAyiu3vBhzjo9pbNRap8uBqKZFyjtydnO6v02JXVbgYaI1qiCiTNPN0twGSdP7
8q2lobvKBYfnchNhbYYQgtO4lcX0mFD4HYg1W2kCToD/17THfdEcloO7dLK/RmomEu9lMgdlPhkc
SWG6Qz1U1QCnq125vceVI9Q5b8CHoKnvpryZO7HHbbkZtlZlWp/bsNOPkxYL/KkCEIhIcqvACdHA
swHyIj4OxqBUtMsxHHjFJHA19loCzOh6v9Z3JTBwuGkigUtnKpa4FXZybaoMBI15meg2Rdllr3iC
l/XFKGbb2tbdbN7jE+OP+4qYKOyuRdY22AY2zS0Di4xovwo22BI46ZbEuPlJJllArWtI/bnMqwhv
RwEqJjLXjqu0Tu9FNot7X+Thrh87TMkzq5kOvAHzboGSvqtTQbxQUy036MW7B1/JhpJX0B0FwoJN
7M5gHjjhWYCpRYEKJPSTY9gFTE48BRNqk/baiy0D5HNjWk3ALYcGCphKFMmGfFd7l5mqvw5j0Dzg
wJBiH+piDzh691GBw3JSdfrUVR0MUGGky38PxJ90p393IHrOquz95wfiay7TvMl/PQx/ftMfh2Hg
fbJdhApMThm//JJ1GTqf0HXAhVpl48yoVz7UH4ehE5F1g2yUIt1ZvTdMhrJ/nIaO/4mfhloPUQhk
ftv/j05DlJ6/nobMoNbxyUq84F3wFP1tghKOPgK5ObVuwnBuKqjKCBGIFvQAzmdBTp3Dqk4wS0UG
sRnCNHsxhw7nKpMpUp6lw8Vp/dUQbXT2XpBYyU4yVn3IINefpN9Uz9g10UgwdzyKpH9OyJ1D5zCI
d9PpSpnHkgv8ouBcvtrrlHB10gfiB7375iVNe2pXRMKdmVM1pqC/1ys26XQ+X7TKsl97IpW/lzrQ
L6XT1vo7kfTYod1ifjldsjbYyRr9SqqLEzl6XXgg9q4BpnFToslSY3AvQ49fFwGfLYYEOD2t0Hwz
7rqQDiAQJIerOhduTB+tL5bUVSzLLPytKqvQPql+DLks2CXfWHpKz0XHHGQofQ5tOHCInUKcNvaW
MAk8UeXvbr00p3SicEf+5caedMsvslAN0FTixkbge8AczvT6Ac4y+cD92FXM0tuu7h6SiJbioBOw
bVOPxluvqjwelNYvbApZXOaAsRuxjGSwwVoYe2oQDaS3kPDVbXSRMAlNohTsJgAmse+x24H7YHhA
FFKE7vuAx/OywZGze3NTRnp+BJygJ2e9yiVcd0zeIxosQmRQ26wwMuH1QINVt8LkvVMBOskWcEbB
KWYW1CvAAadrQHFCbwSfDjOaE9AfQUM24Sd0+gnEffyRqAHua9L54ARi+MBAsprv8Zy5DM5dA0eF
nCQQCUaWyWtB/il+4Su+34/uB/qYLlb80TWG0HSHLaUdDeSAUflGhiNeQh/oOXJUPkY9jPlhClrO
Nd1j2uNkNGKdJhTggEmTzDdSqwWYccXUsS5pT3Zq0QvDwuYD4WsA5CekW5ww5KY9xyCPNzBZgqoD
bghXtx6T7q1CTU38ejKCpXgzZqdxqIPKjUNc0e1LMlZTsle4UqfHvhtXRKMFcv5AQvNy4e9/4GOt
AFauigLosDWaUZGPZ6xzBly01hYcbh5UuKUHiVhsap6tnDT/8tEkuj6KbK0/sEDVrwDkYIBe4yhB
dLptPoT56J8/XtEPVvYIALJznCqLtSlGm+tbTMxEJlkCJFHIpwGOz/a4HKTEeNacZzDdj4G1bzKw
poFm8MPEn4FDXnjuY1oM4OgOp+0xd3LS9hJ/oFsXNkpLsvWqFS1fKT5ZUvmf3b6YjddlfZfoyIaU
yDacc7dUc7xZr/NZZbAdrUskK8yfCeIEglL+xH0uMWFanvppnbq01XpLf85hwLVNdennCLzYZzI9
y5a/R3MObBhGKbAXwqf8ULYf+FaNdXQwYQhKxgtDF7c2rXmfi676sSweK7LwjXVNWTZzXBrhkJyk
YQQuIcRCD9usK/WWUJAed6rIxjd+8aerOTGVGtHYvZFNTQVNpCD4aZU1NcEUbtSdcRnGbM0L541n
E9+yUTZlz1A3+NzOUgUXfwUCigi0jI7fz2L8mSwmLzOFQSVV99a7g0r2QWHrp5FVfCjIOd0Tb2Nv
zTH1Hoe8V18LZKkkOnLovFZRpZ9C36i3gS1Z2LacEKnQyJAWb7pYbDEswsR7ab1GrWBg5cRe1AB+
cMnwC4cpH9xMUNm+ig5wB7PZFoQFIAgIyGYGeUzTlRjSrNd31lnyKoOAHWQQ7cgL1tP9ZHnujvGw
TcnYoz4EbbOiDVmp3RFAwDm0FVGvmA0zw18xsisSH8J6R5zlgebKzH5h+BPsjUnO313iYG8T2ec3
xRha3yovWF7DFErU3mQLPAuifL47Qk8EIHvzsUOOvZuLKtlS676AgUk0V66KG1H2LeENYQ6OauAA
Ti4NIRvNxL/hr26G9bxrUnP5Dq2g5AmYKrJcvSnA5qMIZrJglsR5m8tCnfqJKf4WrrV1HLDTu6vx
EYqZT0oGuBp7xG0OdnbGAoLeSdbfPS8iO2MJJRbKmjnrbdPr8FJNxtWC06t3tKr0O2U4KgsUnt38
cXGd7Dia0aEffY0vLzaHSpR4wtOAQIcdkodmlOwmGJY3Oe7bV6vBqBxsJMU0Xy3pgVmQc+7KxrRf
Engfr1NWyadqch8ybxTX2QZXnVJlXRMo3k9N0BMcMug+vBcQpG7yoOp2JmGyX1J70liah89Lavuf
B7qBQ4uT/5qN0hBEyn2rupsRgSwP/nQDn4KZWmc/KJyuNn7dZd6uMjPzTDZmhU+y6M1HlbXtTtsB
7Rcam40qkNeCnqKzwuvCJLQ2S7Lpt6TTdYW5/+AVe+JtB8yfBfOCrWG51W50RLsNtdk/200ZvuWk
yCmOQse8Hwp32NSm0R0ZbLOqJ6f4TXO8n6ZqGC69bf42yVDcdWqZMaeedEfaa0O8kCLQJB5xKHma
SRo4zcyPHkvL73+Mrpa/zUxvxLvuieN9zH2ZpKdeLuUxZWCy7YT8AlsjeQSsTTC3LhMmBJY+j73l
bAk+hYzhy9sBU+h7KfEgVjaiZfgL9feqnxhDLnlBotFsPxZ5P76FuZ/EKQySByBVDOKHKQ02ZZPV
YgPLp7sERlLemYmwmxi/ZuPRLVsvDtxh2nG5gs3o+vq2I0Dit3zo3a3Xdi/J0Jm3pSlfsd0fd1nB
OgVff7Ps9FhMhTobiCS/TFPq0NWXkEGsRFnItbPsRAwwPWHYDncDoXg4mQBeBCQzZaY1sGu2nXbP
U9a7fMLQ2toZo1zMi+wBFvhsMPFgqZh5dq4nLCCBZD8nhRuskp0aCkrrMhjqy5iIv4qg15F1YONZ
n2k/4qSIIN2krvA3jc8AfA94RDCTbXfOY5i6/gNTh/6plS6xDLIZWz5P1m/LhVCLoB/vWll6G+DO
F98UIA/kmceWo7tt2szePurr+gn8dMS4nvJjj9N4HmvGy2rXmdrYDL2P5HlWWfZQa+nsS8ecn00p
x9OsHPMzYns2KD9t79iBxptcK3Jx+jp6dHpzRKcyQAXqbbc7OfUirplXV8j/GzXthrbJ8XSfWut2
cIvhES0Swb6Jfwz7Ijy3ZTq/mKpKMH6ph9dsyL4USZ1sPbTvFBRYWLyMXQTGozSYklDOLaaXKIPM
FNPyKAv3/uBzH3oaen+DiX20bEMovXJPuIXHk1D35bbTnti7+cDpWGXQmURQV4ducsPXLuKDj52W
T0nRBiikRFLsOA6nm7BQpDquHXEICcLUkpSMBLHiRhaZGy9zqk5IZ10HbtQ8nLR02z1UDO3s+R59
F9Q6Yx7FfvOtEIP/I6wyAtxK31tusqivvnYBA8NIkgtfraVVh/kB8RSz2CALqtttVRf+LjdEtyua
EbrwEA53E1bicTJX/RZ4ZYxJmrBPJZkqF0gCnfPC+Vbe9Q3JMEzlIl0/FH3O+Kr02utQ69S/EoPr
LFvPiORm7AvKAqaTv5eWbab7iGEcD5BJLVj6VnkPsv5ErJE+N6VSO7hKkd4WKkweFWXAnc04h50X
pRze1COxJ4tTUGO50Vs6WO11SaZVrpFme1EO8xmTCe8iGgzX8YEXBsnd3nDrtFV/0paYDyGM8wfL
69VzNtW3YhKnLlx0jIhC3NeqVV+xjjEPsKXlLV1/AmkofKVQm/aBkvEYSPexQEFRbbwRusG+0HVa
3apsmaw90UYLpomu7AqUIU1bkODgL9fBMbvfNVLTlOVjVwzNGzAmh1CvsHGS5VwO0qi/zqNWD2T9
LPdGtsh8l5LkPfwe9t1zN8wNwVIyH9zEPiBcdWCIaf8gMie4tlb1uSOwKTs1lQjIzGjMd3LIujsN
RrPJQ9bCsZww39+QNlfuwrLIgmtkQ5X8TNzmNZLTRpZN8tB2SuyxwyFymfC4bvoMv6dFECbDNHhI
7U48cPod+5oT9N+Zbv7K0cRq03Sw/UWssPpSuf8gl0+jaZhBFxlRScl0yqET9fLMxqQtgKQhrX/L
c/6Vorm+ILECAN2IpkwCM/9OdK4ygDXPxI+nqSXMo4yiWLExv5dGD6HcboevWYVvyiUdw8EhIcF3
EnKC0ATWaIOKip2PB3uH+QYMIMbRTA0NH1q9tKE0jFkPzZ/sKvaKpUko22pffTNT04lo6N1+ebJ9
A3KIIC7lJh8GyswOnkPrjVP/pKzIU/ult6xJbQkSc9zfFvqJcpuEmsYuTeB25E66jrnZMZ7rwIEl
V83qG0um+REuY/OE4p2KvheKr/+QN5i1q/U5pTcy1r3TpMGyjIScIzWo/WpMpA7hypaY+UJ577Yd
vhSQqXy9U3hmvX30wh8Tsr/AN/8fdcSKdvxlNsA9CFaZCfwW7G4BZ/5GAC+pkBNfme2NN6/9spcX
9AakpdOu/esXWn/QP7wQvnGUAYxD7L97kIWSDk4wb7354M8ATkBjAfHn/vDske9Bjh/tUqtpQhZO
2Z+A3i+Kub8K2P7x1VeCO5GsMJAjhHLr2v+LgK0zZgurA93iztDZzwRrhXEOjZb6sZI3rTZ4Vb8P
aAJ+Ug/+9Ue3kOz87bPj7mojAVmt3rDx+NtFxufKAMGXLUE+HU3hOCFNuwtKAburULTNOIzy4T9Y
az0ObTD1SK2l8WvSoLpJXbQOH2/ov/O+fwNvsvJClEf/HN48Nt/y9+YXdPOP7/kD3QyRbEXskhDu
yRYGQfy/k74wJMcbTadPexpiiWnzX39O+qxPAYocdJ4BkhymgTyEf4KbwaeA/1i/DR2C7QXhfzLq
c1c12S8rjewCmGkQmNGqwsP9e8TyYKNYWzIstZnq6NiheXj3iKyE8E7GKyQm5nywVtW8bNVgwBQv
U9s6+5mscbRPXL21rKbcJWY+fgsGq75fEt38FkEkpoGOyhRi6GDUsW6Tfl8zaSG5NHGOCMzse5lP
fr8pRuncLVaF6SgFCqmlKqqw1/HDpwD39avUw3hvju91K7FqUllJeW4yqCnz0UAPWTXLoTQ7/a7I
VdRkPBnzQkxWaiexjhrGS04fpOWu80X5e0YcG9MLWa9tuC2TXWvP+bFkAEFBUkUDKQr4Uu8Hk80F
8NEOiYZi3ANvxIkKa1OEhXMQ0IJITKTzOjtQ5iEAzEG+RlxUvsOgpmy/dqrr3treXC70gOZ2cGiN
00hNX4kWa97cHt7XdgzT+ZRPJdogknvf7cy24SrY7aYWw34cyFH1AaHghobTBTZK+wDS12J1FWoK
oxkjdVgpeXkJnVo/upXzkZEYz6qFVzFR61NKbcdmwOLInQ+TnQcPllCRvSmc+quGqgZ9pw4f8NLs
jglm6U/QlVScK6o3d5qdm2TprAo6c9nckmEcxMW8DKdQU4kcF2WJ2xFkr9yYqUdxnHsCMrlZ281W
Ytjw6tTd8MQITjKIs6aFuLfR+pIHZfKlNzp9xKdJ7JomMs7TYhebvsl94spmd4v3y3JeUmv4XOGQ
Lph01vI8JVKcsjAcf1D8IrpP596Am1G52f3oNtWuE9gNxs0UkWtEcz7eVQaVN1z9oXwXoBq7lBLd
O6R53dYbu5jUb+Qz4SoyJYJxWIkp1kMTRo11w6GUX0GqnM+M6vLHaPF4Ncwg5ZPV2cWesZh7ssi8
NHEWbjMsovtUwX3uYrsfxc0EmfGaZnThfl3oN6NJ5S15y9H3SU6B3PtmnbobyyG5ZzcJEV2jwifq
T/Vpa3wpUsd/yMDzys0YJkbD1HEpv2LQjgcm7L5yB8hSx6T3WlsSAJtn7mP5Mlkqewh0oe6UNWe3
AUIFuKntJAAMG4ByYogYIodF+xw6Yo1+AImODcrls9Wm7p0Y3aHdoYfoLkUTtDmS5JqnnDAqMuNQ
fKSk5K4m9ViBdLfRmJv81iLz+OnePxf+VbWRNqszMjACrIC4jH65qaeBNL6RJNUregdnvs28rLgR
k/9ghUUZd26AqzDKxg10t+hJVzw9O0Vw7VuSREzvKlDfOBjcSG3LziYOsVbe0zB4BFjNudVve3cW
26zJzYtLR3fuPT87uKJgjtuqaksqVbqLwJOxaRpYijwv10RpM9gQ51W96GRyagC33iweglwtVYQH
/jKYT+6ipprICvgI3sW2hHEzDfKVFLbp0SjDqIxpbaejI8dbKKf+Xdt18kCPyLhTr5Ze+Mo8MhG2
j0NBwneLGSQpfqp6nKQjr9UEa8Eti3yfOFEFaYIbiYPABk+bfGOJ7LISgYcaPMns8/NY3DJ15ic5
BkF2cBN3UW6/+QmRZV5h3JIltQEvNDdWaCl+jEEgsFDuK1iCe0yUbLcWl4XU11Dd56b7FjGAIlIa
nUg7jcZdsVjJTbru1vNgfm6svtskacJNnr9JRZ72wjVMevNU5HY/b61ozahU2Yt2EDgBMr6GwQz3
Iey+etyxnc7tqznLKE4wXEkdee9PRfHQi+YLkX7gD/MJuqi5r832acyBS2od9NvJnOuNOZVjbDfV
WG4G3YUw28imnpmBbYZRiYDRkn9H8LK6lQ7QIeS+PRmK48F2Rje21Iy/N7ZWZhxEZXYLU9XN+Xjd
8pZppe4iPbl7f7I2Nsvo5HO3z2YqbSicQ3M1tWgPhtcYBxdrkm0/t8tllkmBXU4LFZnA6O5RzHN0
dQAp4bDkffVYEut270fyW9BmIEN5ap2WOhKkJoMmQ+LQDLPgvxr1JmT5PQemTGNc+JDxa8/eLbmq
49RP50ulSaOaR0u+LFjobw3PVRc7yh89aQgeCSRAchzVpZZlDUWxqp/GKkmQ4SakVg+wt7zWnGOH
2xQl5hSXtpO9Vzp5J81APNpdMD3YOtInugHn6udR8zRMSJ16x79VcCmIfmDpkG372VMZXncGv2SF
TrbYQ7exXQZfJz2qa2hEcGgGPe+deYn2wxRUP3yYCZdl2qlhGc5TD2qFzYxyL+wxxhnAgAxGAd52
hYdZxchdyxNovrP1Ers7RFplX92KSQb6FqW2qI2uLMLqErVm9VCsSXJ+4we73F9UjPXrQ+AqF0So
kMd6cZyHiq4zNoa5u/eIU/BG6e+EZZRPKHCYe/UBxkrET+4VVoYWKyMrEZMgOgUHDZr9nNukFzIh
PlidzE/G6Ee3nprmmwbu7NHvOSIJsfaPRgX9Kf5vnfzhevJv62T8zf5lndxOfyuSP77hTz6c+Qkb
n1Vb+0uFDE2O9s/HYyxgfPIrF8755FEmhqtXPj3ihy3Pn2Q485PjrzU3JuCk3KwMur85o/xLp5S/
O0zS/RHsAjsBdxHTDhxnpQf8pROcaxROTZCHt6ao9ckoVBdPpV1e9f+wd2ZLciNXEv2V+QG0YQ0A
rwnkWpVZ+9YvYcUiiX3f8fVzorolkZSmNXqXmdpkknUxi5kJIK5f9+MQT78W5bgeJ9nbbuBSTUkB
4CKzi2UV7Rs2rI4brdtpt0bk4lmL62W8ta1ePmcrl/dVk8zzR9wnaUSmx2ro8qQIUwsaKuJ3gyH9
rZxz93lx+uluaGsLOXEpcnpkAUp+HcfFuR6bwXuO5wq/FVFcICs92JglLKtZ3QGmY+zbyXF0xnyb
xlYzcM35DozUwhJfMSfm30pcuBEdNpfUn0dYZY19n9G/t4YDWZvvvbUWN5E2njOSBvjayyR9Y7HT
vNsyGl/mqCkCEwX4u2ZZuJb9yGka1sPubS2wYoXzYnVc6dF8xjhtTGrJvHx3C027q8p0GjfuSGyQ
ngN5FHbtik1EWRy74soiPxkDoIXuvLIFm6F4vcPUBHgrZLd1Rhm/GciJc2B5hbfvVCwcX6DIHxYj
jm84MRydaqD8LsF7uwcl552Qk8a9XsG6D9mSU4EdR6w31zJmEbAsMY49NJ9hhejMKSeENOF/XQwd
JXzxWspE43wcrngOAHORWXMaZJaq1j2xUpBaiSBvZv+qXXmk4W9jLaf7tXchTebz4Ad6fz+6BcVY
S1wdMiKDTCFQaAI/gZwZ2KuoH5p86k+G62lBxZrtrvJzuos1rAE3hkuZ3MaL1pSqiaUagggt/RWs
6bIhYNV7Vwb+DcTydaEHTkauz7FTyJ61COGqHCjdDRWLbZDMSbPg3q8bltRzTJlf0vWnPi1wJop4
jm5RKr8jgy7DQe/XJgkhsFffpyjDMGER8cZoaK/9B4Y/oR2k9PJnCW38OFpls13pdMZyXYrxvTZ8
hoqpHcOqLlkgaBZM4NRqrJ1R+Qxec2JMN2vfRelzo5OGGRGyvKTKt8aq9VQ9G2NyP+G8vC1MPIn5
Vz5dc7KJq7QJ7+1slzFFQvpKp1By0YVbyEukbIp4EEy8M6yEJmdiTbBgZ4w8XkN2DcbN9cFWlsfp
0/2IOgcUVbKL24HtKTa0YIArZDl5WpR5siuygsubBeNCFXStLJauMlvaynbZKQNm0xtylypTJhsU
c5soo2bLRijM8W6aysRZKTvnXNn3uu3TVKk716uyfC7K/AkIcTmIWTlCh093KPKNDEuv5Rtol41+
0VSCOeyUqdRS9lIcqf3JLFqqoiAgswv2p+tBGVInZU1tnGHoNxULlCvRNcPJVCbWxSjxsybK2ipS
ZZ/0u7s15sLM8L+SW3sy8MOK3MuI7Fd2mAoRb6ok7R61wcxZtM4ublL8OcnsGA8YcLhrecp06yv7
rf5pxFWWXFR1LxiVTXfEr2vh2/WVgTdaubC1yjqkeHuFMvkWyu4LCakM0k8PMPOnd2hXQRhbWYS1
FLOwbsFV05WB2FVWYvPTVEza/F4oozG3p2zL0OAcARoV0OV9zpgRxp8zoQAdNTbFm1s464uV2zZL
BqhIcca5YwbIf3KH3n1EYxmu6knkRADY5Pqs5Lh3MLtK7UMnpIrIkUXrjZ5x9QLvSW9X4lXfsogD
arXa9gGSSHo9GZo/M1FG806aK5mgUi+CqXOigGbmhvQJvhm3LbyrrDXfiX0vdJIl426m92Tj+A2t
992oU1PLm3I3MUBv5WqVjIxRzrttYkCmfFzz/Y+ElboiRo2QiRMaHok/a+V14sTdDVuV6euoO0Af
y2xlEMGZq5OcJyDkDjvSlcUr0wjOMhTBJYj4+F9Tz9mZzqBdnGwubwx23eFCX+qjyTbje7fY/Ztr
RPaD28zlXdPE0XbBjbXLa3s4j2vvHVPd7pSpRMu2lMnk3HTjZHhIbKs6eXFnvVsdX2kAedP1bDZQ
Yok5HGbNMW66zsmCuUfP6IppeYiMQnhguYzk0o8+J3OGtevOyeVBj500GNE0w8r2uGXm0Y3hd+mB
sElyq2WD622y0XPJmVhRaKU9Uons4/Wk53W8K5CMLomZk4WgbD7eFLXT/c7xD/vuqo3JtTlm3aEz
Jdnm1Zi/FP2Q4RSv10fqzM2glqnLJg2QgLKydU9NNJnXayyn63WqKKPOha7aDJr43hGD8QCpy9yt
FX0TywTBOyBCEr/UTd3dWiu+vLirEM24MTUHnujze5w1+aMV2263ARo0b6fJygLdtDFL8a08OW1/
1w9Ll6pqRqPvX/VGqMPtwgiT6a+LFsHprWa3TV5YhGBPDvpKDDyJMt1Lb9YqHs1NaQ3FdjBEEy4W
qaotm9n1q4cRYiuzhTEY56C7oTSECadtJxakbB/3k14Q8ZmbfYLDfsuXFI9tDAEOY1l+Z9ULW+mS
2rpIq8NGtH+2tPxXR/4352MiFv5fno8v36b/ObwXNWpr++3H4MifP/k3r6z+m6CugX3bH3rxn6ER
1/zNcVzEW5BVf4jJ/5CSnd947GMPx8PKju4nOpj5G7Iv2rPyR6kyKOs/Oij/KiS7Ln8Q6xLad8DT
/rqysEEPRY3nroesdOKAawKDh4iefxgabv/Y/vy4lfl1AUiXA8sYj1+bcx3/9QsVrK9GrSYDux6G
zGzoeO7WMHZHN6gpO9z+9UvhH/5ZGOelQNoTBmDNpUiOPx/7q0LOgEAs/F1jApUvhylBihCjLn5T
VLKkP9BUq+3n1bEBDS7Vv3n5X9dsBNuUHxrio2Hwof26fzLzFUeVMJtDWk6PZuG+eFgo/vpv+Ov6
9vMlHM437HGR/n9F7LZItqjdRnNwjOlxdqznzjfo2mElRQV1w7f072uRf/HJAYf69Q1lj8dKy2Gf
AUaViNHPb6gVNbhu/K472JPVnMjhGXVQ+VpxyhxZnPLRfsIz1xQEt7E/Mb9XabHBILG2G1gNRUsq
TyZEUSOe4IxA2RGVAhcVbh2/CbDHYKQiHZGW2OeMGvJz7GO/8E2yBIX1Bfl3H41d/720PUygba+b
z0vn14EGKKsIM620LnEz+KEVZ1bIEXt+huDYXicimlgaQOeJQ5vw86NwgL4mi1sxdLTWnYwq5waa
S3YvHIxyo92Suon66EJC19hEhS/DyhsQXnRcJeOwrsfMi85Dqo3UPRTfbTe/rxL7Q6zeXd+i2+Az
KU7cx3+PRpuZSVk7NIc/s7DSNczqtdkDtEyCtjRCp0unb23sN0c3jW+oGtHCxK/arW0Ww3aqJnGZ
Zx45vibkyYysZ1cz5CmNkx7wjEs4chy/caL3H+cS88pipOll9ZvosReAHAaPZ5U/RqFbRVhpJzlS
GpvLbarP8bnsnGCI8blIb5munEgX2XZqNR6J0bREPg3w6TDvEjKUjw07kjD2HGxPXoJX+bM9vawN
aezKmfX8k1262kucjcwqlcGf482z+Ui91ngFlpKBxIJenOAHQ8BvnPhKFg1Jnlx3tiYexV0x+XxF
iia9bTDoY8otDUB9gwmQLNef7SrzQvwvc6DFiTm8sdBqsP3pi3GtUYT6mMTNui2TythI7MBh3BC1
3EyJ4R9XrZXXUsbtXb2W7W3Rdteo1NYbHYr9oz1YVEERhTobsyXoIOa70JC03Q19Oe8Zrt84fzrL
JkuGaIcfdD7YXeLf6SJK95pVt2foSdXtQJ7T7IblDEODhYdf5/qundLmjaM7B8BEMFIb8Gz2rW8P
V4mcso1EHr1N3G4nJU5+jkEuyw4j+j0dsvjIj73gfzrZhWxgoU939ZLRndVFG20EBGCjU1yBacBY
Eo8APoYIiVtOBtpqAnZdr/MDOod9xFRM/g3AcK42PNVNsfDc4BvN6hDIU6TfWbJZ3jtgo0ArOJiO
BJ2v+kiYe6aTOBQ5ImuY0j6xy2Tjho3e8GqE1CquF02z1Iwrd7KOIZ1onnzzsp7GDS8CDi/ldDWn
KeHAapgC4WvxnhOz5NovtA194VhwmDuDglQup+h8Oq1mbFzPREZ2MhX+MxGNNCiyhIZ5N363pPXi
G+uyZW2h31ONpR/M0frd5XOl9jh6yCpCB4bLO21RCtzbTNejZG2FaaMP5TRmYeMZcYDb8ax1TX2X
NjLHFrt+TSKv87D2MQN6yCBHqUWgrDT9bl6GXT8jPNDJm24qv572a6aGdimap9bQ3ILb06SF+CCr
3WBW1ns3Ug1cxTVex3nX1JH16MClwCqateWxdMfudtBq6537tndMisna60acB6CuCDrFA58QUMH1
IvMMBpUl6+WpMrz8mhvSejQYFaFmOW9tBXLW9D2N7aHEK1ZLM+z0GFcJsG8eAJti1Md+E0U45nM2
TJeu8I75aD5lRaxvIDKUQeS1pB09LVxXTYYy07xzJDOqTfw0WJtu6w4m+Qjdrr+kgzXe1HZX+Bsn
59rjliBukoUBzRdGfhSFSdLeI7ZG0870WhGfAHLR8sq6ny4k/wUXELvUOf3up1r+YkyN/ijJY9xZ
aypCK/cNgnIF/jH6RS3AtXG/Ffj+uU7E/LUAx3MDQ4eAaFcGWeumz05MLcziIzIERAVI2dmzTVSB
u0cOoWU/rK59nVvEKIlirCMWMk870JYogqZxP4gJRYy3hOfDBi7N0Us9lwqp2diXTlJsAV4tgTsu
yYEGGBM0jB8fBoq0rqp5cA5O7zg3IqEmMNai6HdPhd+SZZ+jNoXdGM9PBneu0LR9OFL9wpzgRUYA
sbnONxr7pQc8nVtBSuKFyl/793kU8UW0Yn3pSitk9z0lm7Ru28tg1P0uK6gowt+ckqTNmWcEXzIe
nt/x4zErEdEhry+7I8/H6TimFveMZq5ccdUb1CLkEBO64b8i+P8rC8f5W3CK/Pup6J/wv5dvX1qY
XD8J4X/+0N+EcE7rnNLpZ8FxRF+q+vP+POP/ARTH+kFPIkm4H6nhFgBgS1HDObK6PE056P1dC/9P
jvT03vx8ZlMlE3jqbfiBHBEdfrGfz2y5NWj6IuPxGqOuP8bnFXlDsdIslq8Lt383sZcangey7Ld4
0GDqZcyVjw7mrWO39vIhLzy5bkp+/XNrpOLGbDtxPXMuw4abk0014dONCCCttivXZHjl7lFcWs9t
sJmb/oAR2UsuALGwVzgtF2Q9rua2pk0lcBbHuvRR4QTIpM1OH73iNsv08rafpuHeVzAMIG5R9twu
03SytdYbNnjFSibtCZ6ZHmsssLzKv8/Bk9+3Zv8svGw9IkOTQubRcCsaZ73Xjby9nyNL7nCBCOwt
/bwF4tefshr3MLcwkChqvLc/J32koPxxUOO/q4SA5FMTQOadb7EcdLfk9+MXtLthIfOCkGApScGP
XePB/ZQZZpFuR50kyEbTiZy3SpDwUCaKT43CgPGMGqmkC6KB62Op5AwdXSOb55Y4mRI7dCV7NElJ
cLlUYkjyqYs0fIZPuRJLvGmMueUgoLQFrRKbWMkquRJYUhIC3iZVsoupBBgNJWbK0pQYzZyFq5Jp
OmiGB52j5fUcl8N1qeSc+FPZ6ZXIsyi5J5v9LOhFZt54RMUOi5KF3Eafrm0lFTHYWu+pko9S3+gf
GErQlAolL5Vm3RO2jk3vWCj5aVVCVGNgfYS5Vd5pvW49AOzr33DL5d8BsCFiKTlLKGELs4B2sRJ3
Fzl6/4qeg/6FpOXfNkoUs1CQd3AOy7BUktmkxDOUWY1iunb+2kxdd8NGvLpOldzmfypv6acK5ytB
zvrU5pqWlf1G+9TsKE/KaMNAyCs/NT2h5L1FCX2svEdIwyQF6ex4xzjlXZVKGLQtp77YLYfPQcmG
mhIQYyUlzp+q4qgExlpJjbkSHXUlP6ZKiNRrH0lSiZOZk9ZEuJVk6X2ql/JTycRfgarJCDtc4aVx
ESkQPZMM+RNeThryFHVeE6PQX1olkyIw6dtYSacwRlBROXiOd63KQjefsWjtMyENQ/ERoqRz4xGf
blWOelSJ6kQnW22qw0fmWASuh8/wNe4vlw11o9YnKp0tPoPa3VQS2obQJY9gwOSRJrz26HzGu73P
qDejNbFvEiLFM7eR+pZY7XooVT4c+5ODm53MOOYA4uNsoihXVZly8k/YvFXOvI1JnAuVPc8/Y+hc
2/NL9xlOn1VOXQicXgErFHqlVY7dEcyXAx5bVR6kgu6j1jjjrlT591RaQIg4tapYPLPZs2uAIsQR
Usk6sJtGcidJ6pXNUfU1/4zYDyptb60qeJ98hvDThTw+wyUZtfQzpp+rxD4kKcL762eQH7ltLTa1
yvebKunffob+yYC0EABy8ckDQIn4xAMAshigBbRjzfSoJipFEpg/sQLyD8ZA5AKGue+teBgPFdMP
NQZrjQsHDpOXFnMd2kQUp4f2s/XAjjIZl0Hs5vrkPBVjOlHb4tWOlu009gfp18WtayPbe3xELQ8u
Hm7/Ffv+ndjnsCz+q3PA7beypBB3fP8lFw/QUv3g37Q+G3kO8zPMXow7Khj/97OAp//mAEIwcAab
yrmpemT+Zh01f+P/EohwpmWo1TUniL9ZR/3f0PmgxCAgWp9L8//ocPCpD/1o0Gb5bivpENUalQrl
75fDQWFBjqz15eDg/lhCAh0JskQ+WRdTzpW/9c2UbFdRcMbfTb1ofLxibXu0vcrQd2vDuMtyVdcA
i3R97oQxRyJt02GSCVv/A4CavJmEWK4KtrEhiRwgaGvB6YeLGK9iaixEa0SOR1WzOoMSsHUhnW7G
0jC35G7WvWaY1TMtoC00C/xWBkZvKhfX9UmamkVMmHqBbevrdarMcM1DlLVwUvTGb7zQwDtGwTbb
miAzKqoGKyqIpg334yzk8pQhC3HCf2vyTTOM6GOCyn+e+ZlXZ6nSIeTBYcO+zGXKjNkBMMbjTcKN
qmtzW2mTc+t7UX41cqK4Saq4P49Tp+0NmZLy1qVN9Xs/zpTFSUIqxKZHsC1ZFMyswjfYzkmVF4R2
Nn4t9c2YO9aT1/I2M2HighlMvEolceZtSXfUwTSbaGv6vPN2Yhunidqw216zxK4Xa3Gnr3l1mw4e
janSs01CPcrz6Zp1kHqrDLIpdndsivQ+wFtwLlkV6dvFFSxaWqSoNCgd/YWi0/56qOxXVmH9g8Hs
5e09lpcMFsSHyfYgJe3LdrCe5zwzd4yI3r6o4ZoF4yrlGY0G8cnSs6CoyvXsOJiRuPd6LF6EdE6W
NunfO02UW7sw7t3xtvDzMuwmu9nbkQ7DjpEr6CrTuhikIjAG1NFTW1jzzdilToAtALcW63aHI8aG
MoliT0VVfvJzZAC/Tss7jgv2mfntJZlsESIKZOEihmVXNpF8WAbcqkJzigM7Ew5s2BAzDkT3csBV
OWidG8rZno6RqPZZannbwp6mgLRhFcqV8qCNP1bykPrSAYlTZN/9afrA1KHtKpuyYB6XuXHPlzza
ACloOCwbBSYOn/gwum+YWaYd4kq8q/i2BRSzXaHJsODyGhFqcfe6FomzoXxP28X4ZzawVvktOzDb
0YBgZwxGgqAaa690q0XHOo+VTauuzwvQqZPrqdU4vMtta8xjQOdzfLHGhu8NX9uJ4Pxi7usFgW8o
Y+BHui1JxYnB2XoGaLxl6p3NGCV2Fe2FXYDFePIkfuQd4vFkwW4wVlsMMDTjKPbuJ4KLAieF5nvD
g2lSVPPgdGrw2ThNFhvPhs13YasDcrwSre7e9R7e6pfZXinCGQgeArXzKwTbXCQLrz8mF6R28wX+
GWbIPDXaMWilFaN6GpXmvCIHlelxqkzCEXm1pvxtYLHb8KMrIonYERN7euhR5hySIxG7/gvBxTF9
yzKCqmWIi6OEYxQ7Hay3WvhrOHbmzJ1tSKLorTCSKA/S2Ej4fLSq4Os5VQt7/WU1IjBVycxf38PD
wIk6LT0PXLfVZ9Fh6T37jWDj1H+4mW9k4o33yB9GgsRQypO+tDiLlTLr8auXQmZsXSsHLzB0oV4+
ltkgGBca3PsUtbU4202NeeO/T+r/j20NqIXOo/P/ntjP+N7Vfygs/mkp98fP/fmgJsjBcA7gDVKm
hcVT8Ef+ObT7Bg42tXT7IdxhOf94IuN7Y2Q3fOZdnuVwX/6TJ/I/RZa4N/uq95cHPI2jrhrmfzCq
DTpXTz/G0ZHZZz3rRbvsrXTi6rFzLDUhOfX2gzxF81EbrTz98Lb8i/WO8H7dJrGSo7CHGhLyLD4i
2i+vnrhJ42R1lx2LtFrPxC7WnWZ20E44I3ih08f6oW+AtmxMoyeCYTRIW6B0zJKm7Wp5WrmtNgBT
Owqzqkwo56ihfDiZhL3dJnYWuosCAMPEWWnfSZNhvZIJCMdt2dXmlh36evbdSD/wW1KDucQ0Ul9G
WDXf3BRXeNAkCTDHmAfxhgFU3Dfa4gZtKmlQnwD9AicnR2HFy94dbXmqHMUKEeVcXvNrUjosp7J+
t/xy3Xk6h4ByACYMUZpgiIhtrazBctTRQGJAroN28uYYJ/Ki8Sl9HSMrErvJdzXzWR9llGyLIZox
9max5rzFuo+jaeNPPu0HVW9lnoUfv6mn2wYjc7xxI2+K2MxopJerbDGi+4mFy07Ps4LxLIkK3duZ
3djrPBbYlhwNW/2bkRH77uvMY7rci4ZiMBCwPDDEElPPLo2OW5QxeavlBdyOjIjwaCGga8KXKaMv
BYHlm9Flo1lxQiDB4y5MRAbL3Vcswr22LQECMEY37n4Qa9jzvzaVPrYfTtqMF5diNEz8emTh2LOM
uzUxq3CScnxt8zsSTfkeQ5N+NjovZ+jY1e3oYQDJRXPVFtOusZv6lmY0ky9MjfutVw94dnTybhQL
CKPayV4JUWcbNy9ZMtMJHfRMYd+UanwPNXTeNCDFQiIm/i4ms84yyrfeUg5QmymOqzBx0dZxSQPw
k/nBNIz8HiJ4djfOUM82rha55O0bjo4T/umqPM7+8uiWgIs3aAHdF6cy5H2RxW44E2Y4ZpRwbvUJ
+p6r5922q+0iiFmUPVUjXqKGGoE96x3/Q0ToQptWtuktJJnmHew8K7GZ+RPsikeiiN447USBNj8F
LFCnX6YmutM067Nl5o+pVpMFAJIdBaadfSQ88dGquKhYpNpYZlRWFdgLleagdVtr+ibpzX1f58zY
+jwnlw33hP69XTk0r7BhjXiyN1k9XY127NxAjMl31rhi1EcnJu4Y2dkRmJEAwusab9SweBfDLbGP
mFN/BCGbH0t78QNwu91jh9PyxpoczI1WYV1NkMcvOZiaQxHVDi3wcHkZ4NNXMt3pG59ovp/nwboa
oFwcMJzUl4zC4o866gXmVxz9p6S11tvG6cfrouccDtQZ84qsPfd+SXuy1+yQuK1ARTl7gIOI6uBJ
o4OFyz6fW6kxYyeJOv9aN8Tgu2vCZcnL3EGE2pBy0s91NibnHmvO45AN0wN0AWovsqjcanPiv1UQ
6J7bUfRXvcNiejsPgLL01V3NHWUlxS3cTHmk8njaU5gahXqKfN82o/MdgzoHUlcsL3NqZmHka8cy
QxbtHXkmwFqGcmCbMuFcAw4TIYfUV4ujLwHNMhucC8PXoZzY4WRlftAjzJylU1fY4rtx3yYlZ/BY
p/F4Fs2XWqL0oF8mcHIXmiFKe7pLK6e5xJm3HCqO2XdymZbXoUrWD0ca4x1viLxhxTi8rO5iBGyV
6bTo+j6EBZYeptxO97WdioaDepU91QnsIT52rhZN9dW7Wf3V0kS/X72CmNwsdVhnYoakVbT9LZ7N
0gzGYhFBijK08TrH/M5aztewCkq4m/pShb5pPNZzNp5jWdxy3vUvZmVGrxSi0yCEM243W4s2bvQl
0c8iyfSz32f+heOVeUetC6s0gh/+dUVafg+m5yZvBpYkBhfqiY4HJkAaJ4pATv18TDIjOtVVWoaR
J9iRA+M+D4AnMcZwqynz8koTTnoyG9t4EFgGkVF7TQZdI5aPOJ1mmmo0hbgaujQ9dEvXfMmIKMxw
0U48S3BjN5XJsnVMqIB08n1jJ8mjAaDsPnJ792L2C8uroVkZwkiqPHXl4F9m+Dvnsau197oadJ5o
xnSfJ1XDMrPq3Otympavi1alC7HKxjmUpTOdtKgY98BFxsvYt9bJzM1y5yVN8zw5Tnc7O3hGFxvW
lJXM8R1PNuhV/lDBGyjd70uS9fkGHj9+bD/6OmVzurWT1WdZXO9AdQ4QWzpAKAYznVbxe2IP6DTA
rRlHZcAa2HgLzyChaE4W5sRVS095bDc4fst+W7l1dfScIgG4IdIMK4VBBMMfmxePdJTYMhEUX6wo
8uBkzvKMg927Gr1S25CAafGiewcf1w7If5PnG1UhfX7pyV7fpF7Rga9c+u3gddUJzn1/lj1tBSkq
5GXKXTyl5Blf2FVQM1DTHR50tkb5S2dNw12Ncfx6Bb/wTbeGfNj4Q8Lj2uc9vsJZrT3GsSPeGnaA
+5lDu72pOhD06qZdExtnBN32ulfduBkGEDrvS25LI6RlL1+IfErH27vwP9V3YoKQQZtDExTYrgM2
aN57pq/1Tk+sd3BT1VmLSufBi4gGYh63SMz4NrfBxbylrVtnDVye1Qd4anLL2K89+2YM9SHVCOZ5
AG5yjFgJo3+X1W0VmdaTi49vy3yX75qmcvYabt6aaCPFE2jr+I0xA2G0rY90G3R3rhPZH33c4hxH
yca+P43+Azy3mkG2gzwatzDZJSySoNBq+5bVPLOkSdXBXR6V7n6KechOunXtyXZSMUZbPze6ce4V
Jcen9GhrwBdhv0M8bKMtk3+QfeMe6JCqgy7vlqCUS3dbr3l9q9Kbh5RA64F0RBkAP9eCCdlh3Uuj
dV84C5iPM7oH+jEGr+9eoQ1vBcm5nczqV6fJ3a2W+ncWW6KUv59OUI1zSncwueVFm7RP49NUt9pR
lGYHqs9GQeah3awfSd2C/unwSZzMYQ4B+kxXC3IuX0272xVp5txKzqY7I+FhPYjMTncT7v40tPB0
pJiRbTCN0dAAj2qfqVEubsZptGsw37q953lX7khNZmHeawsMCcM9mEC5blgTzTwV3OSNA5roAi31
OIAs8jDUqQyiOCN16xqtkR1xDRHhpPvwdqrqkcgXzRvOhtY4jq9jt2xZgUz3oqXRaloJbgh9KW/6
rJm4TizR8uXw3a8cfOOtbWcmkWduK55rcpieOalSjWDq08Oo59GTnlX5k21yBrSjbgVtRNj1ps56
/2rNBKeVyJFHyp6GYkPbk6XjC+cJtvFGeUyGsV1DVl3pKe2pGMEhZCQDR0y/OhSNGXXfrCJ1CaBu
sn5hnbKxGtp4RoeUJGTAEzGw5k6AODnbdrtc/KY1QqjtYLaiZj7F5bRuIw7+r6vwrlJbPEaCMXow
k0uZIOnlln0qMtf4PXERolooLUEjBdsPtxCv4PPM46K5IIWm2AobtJdtba3vbAS+JK5259U2FV3x
KEIa94A/N4keVD3LA522cvaGmCYYEa6S3KA0I42e+FjIeS+eHfidP2As4HCj5Qmp4sQ6d479ZnQ2
rqexB8OcZXmYZR55gCLnjcFxhPy2MOcTetlUrl2eopiMQzl4OyqrlhPkwJt4sc1nqy3zDPgWpi5d
lO3OwL4ZrNqMxpcNJFEqwFqVXexdotUb4FYA0yCc7emIqIPC9/boRiCQRay0lzI7l3z93tGctqbr
yMcCK8+h1uRCuKXTz0iNSThGxCVAp/GYw2R6TGrX2y1dvwY1NUCg68nn1hXOtFLLebLT03Dj6Pzl
CBPB+EUaEw0c40DUGJb/ejT857EUtIFF0R3ZLhJZv3a1x9Je8mTwkmNadIx1GsUGpxZ3Y7lxgIE+
2HrJRMpZCsfygAD31y/ObP2TixPNGIOMibfVI/Fn/FrNuSZlK5a1TrDEVO3HmrbldZ3k8Q2teNn9
X7+Ukrt/lMN5KVAK/KOmX3ZuakD+YfyGDpKKmSKio1Gz9cRK7y3k6Jeo+jdOyn8qiVcvZMPERXDQ
2Zj+6rTNqoU8RIawN9Cpuos92DuCndE2L5P+FsMHvY0j1ZGUPNnFO31YTNTTGsU3mozVcC0prviv
fvSj4+Oj4nzTLvff6E75qbnZVIaI/1s9euIN//b1fx769/5b95N+pH7uT/VIUPdMqlBgxCb/rdqV
/6YecUtgzQOUjxnVccArcWX9ueVxjd8IJbpoLayFlLb054rH8H7zLZPdkI8ZQGUm3f9EULJUtPEf
X2n1inzFMGdhcBU46X6Fg0CexWk6MV97huwhJ8Geq6FM6QrL+uyQzs/eWb5CPiobECEqwTs7MX5L
esm+RGVr01GG4y9zaTJ1liHMfK0EmACovQMMV8DYQeqZnfqLk/XpXIWaEHlqBRHUIeObO1fLgDkD
NOw7LKJafjBiNuLCg6OprQ1qbMevYtfYY2/g0vcT5/7cQfLYVJNTFNcGsgW/clQUxnJlFgjD37Vu
5BEc/PCR/gvl62dbMw4dXYl3jrB9wcdn6uq28MNlD+c0GWIRe9/kRLKR9Edh52zyKf1s3cPaUSIz
BWtS58n3XJcJ1Yd//fK/3A14fcjU9OPY1LbwSfHL/Pz6bKk8FHWRfE2NzFLlTRUqZcz5H3Rqumvn
CQBE2BIKoghKs7W1Lm8n21qQuIGuA4o99SIu0UdoiLNoRCNXy5nx37xHP2uDNuYhdf/nKyQM21df
y59/xzlONDNuLe2rQIbXzTDCf+uy+vbsnjNICe9R/J45uuyPf/3m/PLZqNflNsmTFZmX+q9fXxf+
WuVWmuV9jUjOdoINV513rzE0tpJ7IhpiclPK+H8pO6/mtpE1Df8iVCGHW4JBkZIlS8fWDcqyPchA
dwON9Ov3actnd6zZtffMxbAsUSTQ6PCFN4xIW1AcAtj0h5OPVuvflw9fjzwWpGY38YHJsoZ+ve08
mEoLxLT3zYpw74MbP9th8IWFZI2XSOxGzRmryd659Wq56sd6wDaT8KUoGwbl9wPx6zHIA6Dti0NI
EMOGZjTekxnGsESSB7W4r+hkdwFeO1K02XqwsnZIVjxl1MJT+f1X/vPmYxgafggPG34BZ+KvN19E
yBejNKy++eHMKj+uUGad+hioWQ/+oYwzP3xRmlEnbgfYFr5QqZoUEmxlb4v5DxPBebeTMQBGO+7H
QoUwjjb8r1eTIyATJGK0XkGcwkK+WMbCLIh26SFupXpGwdpPyxaEBXLgxIdcVVDahX5sRUh6DtZJ
dY8JVSDV7SW6ru5DO5Xd8Pr7Mfs1VDJddNyscTw2dtY0742y/t/3Ej1nuEHJbXldFLm/vbN1bTNY
NjizwAK95k3Wo3CRrmHRjHNvXkrKzv/pYNHMJ3eCNpQQs5FVv7uMWLrDuA5h/9o1NKKstGL32tC9
X+1xDa69LGDfH6h211/aClENPNcEroDBRWxBbKiNLIQxnEVfCXFFrnBrpmsqKIJQ+PfD5byfYyAg
oPrTOInR/Qj+EQktHlV5avLe65Ahzoc1C8Lqjb6XG76OXTrLFbfeFOj1xO/6Vbb9ugfjt1qPsxDZ
5YBmdpWn7bbZoAyIikacKBHqysZUB/gUP4Rtkm+w3D30LNyUhjb0WgqCScOnYgpIgfYPy/Sd7hs7
VYgYF/ANG0tzQ2V9t2MwMzs5dZN4iYI+oIUt4NMwFbNMJwmas1tksbXjwf5j92y0z+/0j+0ETkXM
r5YZ5Q+JgIf35wXtv9/FXaKNhIUE0BCs6T+mRb3UA87QvXgRilUkD95Qx/6t6xTeeu3BZWA44HU2
23NbLCuCy7pQsyxSNvw5fMjlllkXoA6r7VlhZBKe0fA1AcLiT22TnGodmMfTD17CFFqnKJgehKrq
7Xlrwhr6g92gl+imJaPPA+q7pOCH3qqIRChOLjw7DwY+LwPFWezZgT96wzGMtHl29ZKXBBjyx9eD
vqCKgW3wUvERPcEDV455lokNRgFY4MsyhKDAjsmknOkRuOI23ihVZ4Yt2ipcjaw8Q1cWnb05/9zF
iEU+T/bkMMkiSmHVX5Ps8BT8w9x4v4Uz+hF6cDTYjKaF98PX/W9xBkqWHdQn0byAFBgUmb9LHo94
U1/1zaWnwTH6b1H9/1MCkckIvsd2SWmISjm733/joBABmltv/uxtyEsH6ax9s/25Q1RzeIeTDMKX
rPI2JuHsaoqOtxEbC/P096vchLO/HKOkjSiAcHAFLlCjfySQmzdpaSVh+9z6XTt62I7qwPrey0Ky
GxX1AOtHZShZ3U8DagmkuUXQ54ccB6WpBxyJej2mQW4ur5ssDh8XTzUoyw+zE04PY2yRJwH0xe+Q
SWRDbQfvgOKin8HDZLEXNvOwn6heepdZVY9m5U80fO9cznusnb1aect0+v0dv9/XKB7E5Kzmrrlb
AOHvTqsa4SfaUEP0NAEYJYgNlEJWCYcBM299giz/oqDtxrSlMO3xkqNabba6UJgp7elqdrNHpGbN
D11Zbq26KHE/NFuk3AbbQXl4wgeDCvxKOgnjhZKst3OAkbA6I0eyjH5/S65h9/0tlaA4C4SN1AQU
eQyk0jZH39+mr/S6FvJ05z7FI1ok4jiK3FwAaCRQDj/XsWvbK9eWIUfIEmevNFsKGEkOGvhWhPEw
osyPelmDsm+SKvKNzocZB7nOfXjO5MK7ysIzt7gaAddjbUXoU4tYTd6QrpwX3O4fbu1dlMmtIYHr
uw5LBeQK8d6vtzbSaIsaTQ8bPLfZqUYlmVpbs5X9V6rLtUtXb+xp5kUuLuE1+LXe4YEsIcLC62Fr
Q+pix8Sz9AzSe1AMB1L6HrOPthy7Cbr1yLOc/LkRZnfTbJsXpStmtrWRiIQvLDHL4F/kWA5Dgd4c
QzGOUWEBfWp0xZIowOLxr7fxMVuhISn8d2L7v2RB79ZoTLhAdBW5FD4cI5Pz7uBC7M8P11BaH6c2
6tkd3sJb6pDLVKdklhTH/rQtvDuOzFcCnLZdm2MJx7z3iZdd9YSQYonoQjrMkHEdRyYUZz/j41fC
74MDHgw9fauw8VYGvMHbhpCFTY9RmjGroYUVIlVdHbPRj9kMWJDTg2p63rW0Fgt/hBwZnn8+tlzO
oOl3SxN3rBVWkXkceb2YB2FVpcMLcijJ9GD3bc+VBHXN2VSHo8lTfz/a+Ju+X05wBQKPTcIBd/LP
jIpwcLBwSV7pb6wheIdR1x7l6tnOqnPoYta3HmShQhHvEtdNKiB7SpYS2QTtLci+E+1YmP22ln+b
tQUilzicLvlXG97kxZxpA4aLur755iOhoh7aPmzVlxkBr/nOn2hvbPsYH99ApJL4EddOfHzi6axk
Ae5zh1Vm69x4tnKSfdcpWFsg6zWV+n6JJcqKYDIof6c5TUEWw7SpmToZqhGoDx7pFmr/MWyA+sPU
RGJt1ieB3z2uSf2a5ePlWEREZrj0NPOGR3PBVBSXC6JLeicHUYXHCRAI/hwtldaPc9i75bP2mzzb
e/7oOulKftqjn5OPQ7JHYm+uUdVp8ovI9cY9AnszoJIEYcOTMzuFe8yBDxb2QdR96z+twZTXFmYb
9rJ8hCvgjbfWMHYWWi9ZpL8FKgzReIuQCuyptPZwVD4ky9bUp6ykuoF0BNxeaJBYibhFGtGOl/Gr
01Zx961wRT8tmCKMq/yeaAgsdlo38+BUF2PWySDekwcE6KJmrVWH5wRaRI03YQjqu4F3gxg52jPp
4niUAm83r5+Y0psDiKD44IX2GNqIbvoIsV/qJCsLlBuDpQYYiivaOE83cwAoBekNHw3H4CHrXE9e
hpVf5PGRuYK/rCHd2BzrzRCX1L9zyw/liP2EQpj8EnMM6LUnPMQ5bbAQngHz7CcBxO5Tb+kwGC6Z
HDN9VjQYB+oLWhB1YR2+evES3jVuFPEyvv3QKsuG36HI5fN1+Mv68nXT6LtPV1WoRG58pCwritK1
CpAGOS1d5QAKCPzJnItQOkpuJ/cCDpUvS7aGdpJWOJ4H+d06i1lE99Bbqrk5RrVnueISHg7ygndh
5QVlAnAkMVF1pMYAmdkIQqq1Xft+MzBS1irZsm/ZtWURXFtepiIMUaj4OqjZYQ8RZwfkHuchPwCB
9rh2tixzSTADGts1DiFrKfe2qCsVw0Kx4Rt8cnO34/vaqkmSJ53HUqaKPJiRdWNdcoKkaDybD+H6
CVnwgUR10937xcDdp0ArOnC8VTGbEfOasealH4rReuzayGz5PthSeD3JjHCIfdg64o3TmACySXZI
KJhbxdtpY/hkFfEfZ8kAdgAbHockE+iMeTwOtldu8C8Hf0fe2PlJRS3J0pbiUVgQhgr/u5QkNPKo
ypJIK51jZ8XwBWluVGd4gr6W+nmsOl12jBdi5/2p0PgWLLdxFZlLLnnS+FqHzCy+weNX8jWzwDqM
+1BZ5sljksHPmqQ1QzNN4NCRdxljOXMNE9x17vHn/SiFFM0rBbeCnwWL6MPHOvABWaT+nFAA2gk4
JYzFz9mTbQPMnT2GwubmsnH9MRiaWaPSnzFuEgBR4F8ecja3nl0q6/HnUFtvb//3IL+9j0qBix26
SxM9Sp3OKqbXGohJqU5l563ctHS3he+iwZuX9iMJeI6ub/D2oPoN54L8QOatVX7ZOcmKSqJTG8n7
uwR0hnH/dtvGALqxgeaqKHNkU7Kr7dUEvRDhXH7YAIGTr8nbCGIN4HOHmEqYeyrckhwtFX0Xzs7F
qmOTndtvj/ZtegA+RfTmEAK25yVA0I4/Aw9cMFlyR5mvKfwCLTQUsqQdFU/g3n3EbLhTzwzv20Ta
NO51xN+uZz7FQZmSv/OCCATObhgLc+lvA2ptdIYVhgte79P4tSHhVJcbkteLOOWmogVZq9QomN4k
VW4qHwPCEa/lhB35qxPmKP/uhoCIlZtXuOaFdwO1bPOBLpKPKoVHhwNK2nQoyaEHsQXm+jsd5sX8
pJscCY9jl8d8Lg08B7haPayRM157b3MFUaxkjE4/hxwHScXl4MZU8yGcAD1fXomy5pyfHOj/9hOR
WxVP8LstdI1Te8gzvjyoip6UCf9sapsNBQNKNjymQqN1lZvlrDlf+Vm96rCKjzXB4rJeGbYAyvPQ
0m3ALU3iN6C7siGnbAgrRPP+YpQDLwSNQXNupeb/K8LQ4Utg4yZlQWx04+Y81WNGUWAG5shfFnk/
PYdYzJIFZCtiD+N+TtjKKyA40mWHiVXR6PjQtByx7WGxuiwZLpEpV9vy2Q4X6BDHvOn7ur74WU6u
xqZQCCQXWGaIr6s/QBe5EHAvQvvk/VgzCFI1DNiAfkEGmK2I+3l8kt5czOHF+HbrC6JcDJEnlq3m
juocVa1DuNkOu9yIVQq/cxZhZg31KjPF3+qn8VDPjICDXAn3O5aly4tigvN+6GIB/yqbjbpy4rt1
hxZIUa5he+uBfeUd4eqYHHYK9MC8eiuybE4AMeCoO6ky9zLP5MZngPYypbeMtJyqoQz8mnpp5tSk
vjDO675LRzSlyUPbOjTrafQxjy3x5Y1HtkovzFbOPMBECcNMrmcGD8MpUyoAWAc88x5z4Zw/p+XN
XX6eCc8y62pG01eBdfcqU6TsNcfdLSraXjh+QAi5XbPDklXWWiB4K4IGw67eQjIIrAEJ7oufA0eW
Ow7DhIe/Wf7GXYVda44N5NfNdFOucph8byNZjT2VaHQgSm+CIhK0WfSh3vRsPSqCaaoKm5BJ+MJ+
y/yyENxlBGDRm3vIRAee8Uh6aapUTUm8SmSdtMjyvqCBVkjn1YcA0JxDustrdvTdfhitvxDZQIP2
wInmNUg4N9S/rTRunEg9U5Gc6/GjnaO9k6dZsHrF8jBHxDbyG2LUk3Q/D1lMaeKkaj3BkINMOdTP
m48KQQ9lICTh2I2O0xNTIvyWaEczy1sIx+nEDy3ARNFMZ2rZ/7yTt2eJcxsFYoyEAKNxWz+2m6aZ
zP6XrLnZTYj+zeJF1te8A64yY5ZVrvlZ4EBiYk/MV/PGzKM60UJk7ExvA9UUwVLOiRaz8wZwApse
FqpZlUlrfvNzyhJTshOh1mR+9VYPN9upladqAekY7RxX2fG9LqJ87nf4f1E9R8s4Q+BmljgyF4Rl
mykHDvSJeAH9wW4B8oj57dv0H87ULc2VgwPmT39+UaASjjTJVLEe3zI2RD6BQu9AG2n/Q/22YaH/
aT5Zxo4pRgMfMEXIQeE55e8hZMo+2yGeoq1HoFeCex5nunjTVenmJowDiM13RFNjLkv/WHBWX3OO
7AAzmkUuXNNmRMh9MXMyynBrLHcI3nVtiw9Xw2o8vg0IdWCz6dX04PlcH9JXdV24XhPFfyh8vUvo
qeWwPzCDXTa38J8N9mIMCU5r4T5iwYYEEyDsfGE1zOhOnKXlmxWEhrVZXcj0mWv/Q3b3a25nvj40
jRMsZOHys3B/rScovUASGyJKVW9bY0UN2Iw/3Z3m/PuveldAZzXZKArwXZSs+H9o0vq/VWXmuMZd
nFDy33PErpe+T6XIfP8O4oKZ3QlOI7zAaucJ9z4WVLCM3jbH31/LryUEY6xLVQitK2QMYBXS0vz1
WrLJcynfVvljQlctfAEWZILUYcCD4bD1hM5/Gud/fqGL8QUNd3w0KC6+x4bUhYLd36JYD1+CgyKv
OfEvI0xVTVnzx8r+/Q06pmz3PzUwc4fUbvGfcxBagDHyHgmD6r2fd2MTPvzcMeZiM0X7NfTWIDgu
/hBPx0pkm/qgZ2+toBp2Zj/3FFuDBZqLg+gPV/TrTOeKSKWg9tIaTVB3oFX365iviW3N0erJh+Zt
Uc3EdazxRdfI1hzLeCpNnuDrlZWZoAbLFSB9ZC6kEh6s7xQJYtZn0Hp9YO8WthaEEaWQvJ31kTnn
cvXIJ9P5rZ8l3rbZ39/E+8fIg/Ntz4Z6Q0kWReh3pSfOXTkinTudi6E2O9P2IxASQ9DpD6sVa//m
P/++wOZBmv/C8L1sWoR2Kw/Y1uefx94CAqza2TAZg36nhjL/j0prwAeh6yKox8LwWKr/2A68GetJ
nN0qjhsTBRMkm6cB25N1gQupOTB+f4Nmf/nbNGVC0H6CGQgoxUCZ3tcz53VbSrUF9UXUWaoO0qjF
r+olRBn/j0vwn1/FowOpCHmYTB9K6q/zr83cdtXI5F+8hSKgCU1TEzHRlpff39W73hqfDkIjoRnP
KJIHsLP++l2dPRZZhfPmVxtzx38vK8RMTKiovNakk3M84b5l/LTcaBephk7HrtlsB9tXmKPRUzXb
bIJ/uK43iMjfBpwaJkOQANz5ARiI3wO6bJt+UVQWw0ltrl0MBzdYDEpCYxGl+7+GraPRnvZDTs3X
GEhsZLG7Eb6t014TRQANytO+FlSkblyfmoh932aIiPUXKzFL0J8z3GKcBbqBSyvs8yDRDMihSLuI
Dh/aRm/uCLvVDjEsiFVACfDGW5zew1rzrc9YhyRJ3l2GPa9cbuu8mABNEnyhb0StpgJCckECFJXI
IIMIZor8DJwiiz8rMDybzRQlc4g5xMIf2+tbClT/GM25aF2OFFJWE57MOJsTaPeGH3DuXM1wE/qF
Ojp7Q2OCTOttZxY0bXlutoidDSfCAX87ZGYGhVrDHgxjU2l0jd9KMZLjHJeNtwDrxxKi4zczvpuM
TXARyYmKFzlPHSItg4+n9dgCnCeCsemigGBtlhaKIKY7sqmaJ49wPPHOyL/ik3JZhbZlihTDpKj/
rm/5YTLjginRIdYt5WAqQxHdjx3um3GfpRacGQjFO+mBanLvIWdj4nDIZegH8mOwJtPWf6QPYjpt
xKa2G577caC58bEUVMGR5AMh68NuUtJBW7l1CIb/WkmJh/gqCJfZfYGlC+X0TDkvEx+6BMqOizXk
YNlk6GxoC3TusaDHf+j6lWe7nxcXWW2MMqiYTCkhoxNgQI829XxTJ8M4bDva5DO0Gki8in5tWdi4
gdvNOL9iblOvxT7zSQQQ14iw5fvUURFCZBrgomkF/twjJX36PLyJW86T6oj0eggx8Gf8R0HexK9r
N5rD8G1qND+i1C5qalJJhdmdxu1M2SEO0QrL3IjLcGvkcufampKPHC59/ChgfTVHiNF5sCvyHKbx
WqIGvZZzdiqRzbkobW+7bNUyXVBh6R8iFbop5s3FOcLvw6aWPamPGZP6wkf6btix+orXSonmU26X
PYZSDpprceONJ5JwSl1uF1zHwn7pMcDddbMIb0LM6/eRXxQ8XdtSsPcX/1D1pb7bqma0D8QU4yFe
baw06iFsvxa4JbkONqjKt/LrdhrGQzBQGgcgk19MPXKURTLHHyJRSPAGovxWDjLbNwXagKvfdfsg
S+RVvLntcc06utNI/qAeABWoS328fY4zH3kZkye+qqXXJ/AY2TeZ1M2pXpxm261JFRwL2MaPwqdn
gKipjVKy5fX507xs8ZfG6gJKDBrB4NgtD7Y72lcQNopy18PDuvEpHx7VOHTfhyrKPlDURCe1GL3k
m0MLijzLEc7D5CI5eRRrZx2coR0fhsmnEMJWsB/WBXPPQUHmC9o5RsUpyYr4Uzmh/34JMkJ/HVy/
cg69FiPpV9kWENm8IP4ej0HU7q3MUldtAkxi7ztj9WGZkGIKwBBcB8PoSFQFi/6LXQ3iZol8+3oI
MX5m7wxMbzef5quFMPvWjurpkqq8hWiOhzZbzO73zZlnPNS3DQFA0nlhfZ6FnL9Ly1pSt3S2L8NQ
oTmfZAJY47YNzNyiMcJtDvyrvdgg3VyFOofjY+Pdd16diI2YVC+d4NR4V8jnNuJKLVIdXaHd66DB
uIwK9HMwr19tnWVn32i0TwP+wJQ87RJf23aK9ihLeAc/GruzKHz1eRULsaJN2x3Cia7BZtRpVObw
2i3toT2EW9AO7mCHCzUye67djh8WnNo+DMWKyW09jvmTRFDnk1pEiw7WgrQiDA1R4XNmN3SC0e6p
WXhLsaX+Es/3CT5xTdptU/WlagUma7ndPnc9KuVCTM6HhObGJXo2caqVnV3haIVBYxwuNxV9CHxT
KQTzpdm4yzQUmhWVgpswtiC+Nk6dfFEWwdY+Jm7E7qYaJD4CIdoXrgxDrBK26GJEhOMe/BCYk7lQ
T27fidOEIMipElP4RXnZ00z+/rTJdotPUvjrrpJt/h1/9uBUjJHWB8LT9XFUSZDtlC/pJNeIidnF
NF2iiiROkvgYvVboDU+QQ5NXD7eIj5XK+tdpm7bvmgm+n6LevfUBPJyQinf3cpHjI3EvVjNzN91Y
aqhfNsh+J69xMhBjlLnPxWr7nGULO5JdlagwjkEdXuBtmqVi6KpTHWj1BObM4/on98qxO+9Yhd7w
mXqhvE+6Arbm2iSPbau263yoJJQgtlzS8xbihG+PV0r78303ZOqjwgzlq1ejG7Rz5Tqd/bVl8VBr
u3O80bgOR/NlOS9eTz0J9cf/W/N0c+PiKaak86Z3yoGfX7DYIjS5LPDlRuq0gZ1wQ+cd3ZERSY59
vK0d7sZg5I4/1E1hTBT375VNxah9bN+Dbbv5H1HT3Gr7j6gsI+Ra5O1y8KI6vnDoRaYTilh3Mexp
OgbK+mZlLti4G1y4tzJJ13YhBt9HmlJ7fIMi1RSNBxtLayhQDcooN7Ml8nuqP83Zgr3z3IzqC3+D
2MZYOs8oVKJQAbvzjIglsNBAoJeR9MJ90Vam5xQDMPsWCJJ+Kt1pkqfChZ+SJoUTYfHeq/iY2G2X
XLVFLPb0l2GfTPTh93GytXhebGMy7VoP96TeAodwvVoyQl82hHOmbmQy0YByFuXM8Ghle+ctvvUh
6pIS179FFTizJUI9VJgHIDLZ9Gtx3ZZ1jyuH6gKQmlnmWCe0QYftYY3RVSlOJvSw9wmijk2PGJ3o
se64qqkVYMjgREQuyJ/o7IeLSzWknnbyj3ME/STFiim8AUaYOfvZIUS8HikQjM84+MIiYR9RYsRm
DR3YDrjTxTSGEWwTTCyqj5u3ZsYVcpF2gvEEm519Gft0Kk6yWTu1L6Yh0I+JldeQc928SdROoR4L
H8byk+Wx9EDzoNTjNx/61bFQYyMBxvAlkq59MyfV0qWuor9wGzVsp3uAe9sedZjyqnJHSK9OVF/B
w1rQzm9WC5UOj+Hv7KXdUz9qa4MeQ/q0vRtHv4pHBF0qVIIo/GP1dehj2q6pduAgIhmim+KmLuga
79qO8nO6jQtegl670pCKdFVfdKUf9Id8DubbuqR8u6+Wcrnwct+J90gwFRGluko5EMGVoE2qg2iF
Jk1XPhzdET+PZInStsp8rHv92hiLUEt8doSlvk0JoYmnBForfZ853iFHWk27KSFcYUFqHwxEDgOS
InxYLb+PCMx0vJZNyk468obetjB2+comJOPwUIgG5ZVcovt6qFtoacVBuFDDglsH+yv9RJO5RYtG
xj7c8+ll24r8KS/ES56IADdMObePM5iTQwYD8GRzeNhsEqGiLRdt1w0yoWeI1HhTFipJhRSbEUjz
bNR92qB9hOgU7pUK4fTFpc/+Oo3t1zHPtmPU47Ytc8igdD5jO3WWYZb7jcPGv0+GwkP2UCm1L/E+
JPCDNwyqLS/nb0is1x+E7Ib4MCBgcwMTv3/UqERhWLDkcNWoZufYbrZLctn2lcRTTjbHGp1WsmMb
1vtY9Nd1Fli3br34166gmYqyBE31hLRo77oZ0lw60qdtcSGkYnjctHv0rlGzFU7Yn8E1wnUXxjMB
6057SWWdV6kfDpOAw9tmYFsBaurLIeTmDivF98ctU+W3jH68PCGtM+0VixJe11qrM6c8h38ZQrYq
K+ILLiF74NRBMTpKQiQBRfFcYS/3QkUQScDaSU69nbTHSETVvVXZCop1WHyyu/apqUCo5SRux8jN
qs/97I79DrHX/rNnZ+pKo0+PFRBif3FaUrS9ygQ+onVuU3kvkfohCffu8K/RV9PslF/rwote6ix3
PtWON99MdJT3gZD9pUcp+5mmAFx29rQFql9ly9sQ3WniVjZHMwn9r35tkvS1Q397Fyzu8NpPaKsf
kOqhQUuRuw8vuwB97XRQOJnQA9t6ipjRXDkptud2twutsgpuGzG4r0VRIP/oNlzDrkKYK05rPtc4
aTMnilUEl22o3WhPCj8hcmtxfF+10Nn+JcjaCjwjPc9+4eCdcY63ELm8QEY33GPQbV0gS+I+GTzD
0UHfB0IjMiJ3QbBUr3qKBccDmeex1xkorT4LvBtaiupaoOmDYkNOSHOzDFq81u64lPCOFYFtOTXL
13FcWSssSvI0Laiufpvopk07OoXToasm74riOVpMc4md14WBs373gbZmxzYqxmsfJQ5yWcKRcd9k
0goOlmzBItvbFDyPQ9N8jsS0pPXg4YBjW5gD6TlyHun6oZlBq5rBCse5aE4zQdUVu183HxZZoFQm
F1Tcd6BLrP7soUJipRrPLolvrB2IgxITzAeQMkyi1C/aAo71dMynkBZPW6cVQkhYnJs0dkqzVZYu
MbXXZdunbtBdfef2Dl6xZBVZzZaWhD1kReXovFlPlu1WnX8Xai/DssWR0KIb4KxWl05WvFTZkUZe
vdi3ddGHfZKSbS/YjOqtaAedRhy4wbrHDjKI4c+DMvexMZsQ1ayv1zijpJMOmgRM3DcTVStvtwA/
Rx1WaSHLT3lewz3fzywV2juwhLxO7SYsH8PxmBtbn0tdaKv9a5DDMgWHAlxW2x0CSQ/wMbNdekIn
AYBr7PZq9S1MQiuNUETw7FvAuFAg0Mgz0FVaFLf/vcUq0WYch6pb94koluBToAK3eHwrIlvCNELG
JjElW9fJFnGNBbRpv4NjMF0U1uEWfcv9zF7CE3jvjfUmnSEpP2sxF1ax62IKcOh111k1o3qt2I7H
Z43bDnTbkYByOSM8YWOaq/NBy/q00XXjaXHkVX316sUQ2FtU+Ea9dtee5vY2/KBAfwwpYBxkQR+9
MRAl+tIAaEvvytZarj34qHIkxiF3yOVRiLhiP7bGfg97Nr91AZkRuouEHRM9bYKo2D+VIxKYq6A6
PFHhLVOgXrqZ/UPeLX6JO+8MEiihdtD18PMJ/eJDZuHhRnduyhKhd44vE/8QrZvnn+hHts8i1s2T
BeoHFb8eUtzO16ydAyiY9pvd1URZoPIRsDn04YDW/KTAzyy7zZU0RbdQrz/Q/1dJmU9wsoPpgvp0
eYNsGtLBbqhvEQxc8cjxWkBkU0KDWljNI8Z3c3QpCeGinYcgqL9burlGL2y0QVcusZghHdtT/U3g
bIsEv0JfH52V2Nd77PHWh6G00MLJZ6s5EIGSIWaVCIIT1vVju8/aeHm1cMSGL+zks3QeYtSRg/1c
dt1XhWGMQsdoIjXoNgsRdlshVnognFDDhS6CevqWo3JAxQW/AAyWt7rIj/DHpsw6ttqJAQ25OCAj
Gej3/cFf7eHCGfroczM1PgXLKHPzPqWgiHfUbo1WHEbj0NZ71w70+AlIBnCOnRKg/1KwJnDAO+24
4J0obuGs5vr4cEji8NuFRuCyQ+c4OkR12CBPMWC0ASAc0geYP9ECKXFXjLriDjWPXYS48Ak+BQ8m
WnJr54H5u5CikVWqKZi9bgApmBtZ8kFbds99IqEQOmK5X3nYez/JYlRUwXx8h0tPUFBXIr+x2IaH
F5LLufgQVS2mRgP4qvKCCCa8Un4UlK9skR5qV5NfPfSzl90C38y/5QpBwF08bwswukxTGdm2ctmJ
0p6f4iXQ97NCfPosoNfRtY7ant00aiFR1EHyYMQsI/QZUE13KFpgugZm51+z58NvDOrBv+h8zArk
rIJHiQvIcXQ7+1OoBvTVI/CRiDFsMAeGbd3By1qR0HHdcu9qpJrIUDqA+0k5JRPqgZj3AmHfgKnm
GUpK8Zw0BrJBNoyEbbS6RzpX9H9tD8LjPp+MzDORT0YVBoUkYI8ePngEBd063CIGom9y18F0ww5y
ER0BaAjcnqIRNPTYcZegFKIXXxVxvmsJwO+kZSLeIfZjRASsdUXzqs4SYDK1LIs9B3oFIoxyyf3W
UgHYbaHArqCeAP7tPbstD5tc+Js8AOYHnKUV+8kTfyFE2B1cDJhTtALXzxG7xXSNwJIS+0ZO8cMQ
KKj1oxUEkoSgpArUuv2t12TudVw0dQR8KcMtWKGWeG1ZhfsKf7zGMAIFbTCEVQo2zf0CW0d39D+i
ZE3LYKhUGs1+iVbfvFZIZKp4zA66KOOG/Vd5zXXluGuA7uUcPMODFsuZylWN4obfI+TbiNb5jCxU
vuIh5qhzD/IFsdA5wPZ+S1zYFjKzg/bQOlXxsQ4WNWPtzPk8EZ/vC0/J2IxbeDd7M2Voz+2zc9y0
3icJ+iPfTdhce0Pbf1IjPhhF2VF7BOkJgCufmPKN+pyjc4l16LBYiF1tzq3S0I4G6i4vXa6tS1Wx
qPeqrKO70WgGjgHem2Tk9Q11gejCyuz4mYoxTvR5l4evwt2Q6fHt4WFSq3tZD/3optUUzyZas1sg
PR0lnmgY4osBi+dwj3oFgVNbJviXBO7UPMDiLfeK4tZeMdX9VKK0dSB8ca67tcd3rZqdT0W2Lp+S
bHR2YtA2lM6gPrRxk/0F3Bm91sAfn2LC/ZPjZ85rDzIe4a5sDeD/M3BQET7BBYpvF8AHJzGNrLpY
fwE4Pd4LjVz5Lh7xUmQdbPcJ4mVENA5iCZwHqiPNGLw9BPxrqmhYyUtX/aui2LGPFxIV2aN5vlsK
p3/G6cN/xPkUVS4MPqxLITr8mTEvbGrP+7pqqv/qUAvqQeqVAwoJrT29edhVn8ho8Ud/UP7Q+8Ed
siOSXX6IY4OZUhJeNuCFZa1aSa+BRmh/91/snUlz3Mi5tf+Kw3t0IDFj4bso1FxkiaMoaoOgJArz
PGQCv/57QHXbFNWW3N/d3IVth6M7JBKoQiKH9z3nOdaExAdkl4GHxFibla76+KAPMSHfBwTmU38f
Jkran23iRbN9WnlFbwWh1eq9tvZG25Itk1eGyoZeG7oN6OiJo68RBIqZbaMHHSlogeLp6jBMiirm
yjGUvbWsUnofnbLsmVSaOiOWnHnMjnV7zT4P/cRam5woQmhjof1CJs02HrXXhEeblwZ5vWUjUY3r
6llfcHjdmkYrAkJAZnLKYjqpCVDcfl1HIOOMgDHY0AaJ0mjWm+vR9ABpbhNTgS15X0GrHdM1DWJw
/1usTIlKz2laAQhbdxKYoNjotTl0zachm0cxrfgtdTIFsrLYkq3mOmZm2If4rFOfIMRp+SSWE+ng
4uJIjW7zMMApN+xVEnoZf4ZG33UI4+07DsyndOrC3AmUTubwuP15e+77DjldQxQgOq3DxclLA3Yx
7r9WSFAq83od98JzUdVLQ2P8pnGBbtPSKO/c2CK6sR91pWHASFJadL+4ge/b28sNIBTAvAvmmS4h
TaHvbyCxJ7xRUQL/5dsNFN+UJ0XmQ3XcAQGCLPzykf8St3v3XJ2fiufuhfb9uarx0UVx/5Kj/K9/
u6sK/vfTv3KZfG6rrvrav/1by9388zcRyPz73S2ZGd/9y+aF43k9PLfwF7oh/3YP0XO1/M3/9A//
9vyf0EBt0JCvBsdygd9/cPkq/vH34AmTPseUhAb+t194+PKPv3/7qd9hDkJYvwkTR5C+2Kxtb6Fv
/5HfYVi/WTqSC16iF0sdDql/Mbt1QQ/Xo72PL59u/z+BDiYICJNf6P4R7Sf+CtDhTQ+cbS+IAAMR
HBIbHcuStQy2V3qfHnNA3QyDOpfSxGotWQlXlYkUO8hcOV5DO56OqSJfdKPrWf/YV9Z4n1mdQlfm
l83Dq2/vTzxD4vt36+VuLIAFyxDXacw7fCOv78Yqpzrzwdif4aWIM8TQEuiwW3GgB76DMnqU1vDo
jjUoTqJV+yZAbMVSgHDbtVg93fKL3/f6O35HzMY2z8U9AhVP7CbHDp8FunH1i3fReKNXWL4/C+cN
giEUcjqRiW/uOKE0gbCxP+OMiKK1g7/jfiTGx9z2ADMBI09KpFAmOQPPrsPWaMp0c1ewDgtKQlX/
JVZdJ4JEq+01peiK01AR6/TKWjtDMl2l8VU2UFnmgNOtaYr477u4OeEFAR0I78K5TNp4LHY/fw4/
PgamGN3lQTiMDWxc338ol7BRyuV5d8YATZBW5BEMAmaKoVGXg7qSqvVv61DkH35+2e8ntkXXsrhZ
XQI7GIv833Jbr8Yixa7IqruoPJfeLM4o3YczDXy8A2H8/udXWqbIV/qKlyv5GMUW3RheqQWk//pK
NQAvcPNxdaZdaz1hdYJyGPaApMFgxhu9QYQdmPrkVQGNOFn8atC8lX3xKTGu2iA6LAeWytvLI7RJ
WEDo2LhNZmOZH+ynLF/uAftFt+EAUIFK5NHvZN7AgWyyyn2mgoBzxp+sC+VQAwhMmVLdT+mw31M1
Nsx17E3Tc62N9VrXaDsENi24dg8DaR5+JZz58UEhqmLaQA6ExY+18PuvT4f9XdpEj1yKISyeEjbO
ZNNpRLcRED7hSj4CkMs+Iban1zo3iJJZ1JOAY4j7tXfnuQqmOHLZgqXjc4KU9cto17H7C/4wWrW3
Dxk3IIOIDBrsyrydi2Pu1XByWi/R0aWbl6mFftH31r1PCMDi0/K3/TgMCGkb/Xok0W6A9hED/xXl
rjPaepdbNQ7xvCluaqg0CrasjB5kWlQH+FlEDtlNfU82oLcmyDoMhipNEyyXoJVXYdqVZ1lrHQcp
9txRJPyUlBikMgFAzILkkT6/MdLoKqI/pgB+u825D5u73ig0c+2M4JhEMhnMDRbZkCtdeulFHtve
Y6hTvY0dT1zMbH986Hwxu1jGfHKAUcnhSMKNheFrE8uWqs91Ry9yQObLybHo3S3h58MByolx1+AT
xoHmktWzmuMs/ORjzKOEWTbax6Ggj15Tfj2gY68PovHzL8lYO7z3ZpHdJn6o3NXI3vEIunYIJr4H
dvOG/45+AYlHsm22QigxbnIkjzTsCAVvgpEEBsKuzZaqqE+wAI3iNXLsfs9SY8gAM4bD3t7NP6hC
j09G69e35MnYu4HMNwOhbzE/eQ4xlkBb03k7Zl601dhUP1Fal1+RQNV2gGCJTIUyMsZoq3pSVkwp
5WaKRiBsLXgrMH1msS/5q4hXrbbii6aDvkrhemrURSTSLqh58woCZRiYvVYWFGyyTbTIHK+lKax1
0rWoZVJGUr81e+l3O2W6BOhQQMhDxJlNXxQrujE0u77EULWM+bGTgM0oHvgtU3n12ZiKtDdbapnD
UOvnPuvRFFGcauYd8qk+RIeSIEVIjby61aE6HNLJhFI98AyAV9NXo4AS09sk/ihkPezzTBJGkEG6
DcA8ivBdDNYZZUE2uTJeTyonVdvpepMRJcNKdDIYWAu3jhan4buRV8eJggZmMAPOBOOwLfOkBWXX
sHhhJqA7EWihL3zOAyHacsRmIc6T2IdIsoXAmRebLmRXsLXLqJgDb7aZMUuS74agiFstR64wRd0V
1TA021WUeF+1gWwwfa1XRo/4xgMibNMBDI+l6fYuWVKl6pp52nc6sxvNqih2kd134wyaru3KZDvl
TjHt9a4r6sA2KAAErrKnHCBuA1KSx2o8aHUxizXl4KwgBqrQtXe0RzTUEKCcH1IyMoqD2fp9vskQ
dN/MQ2/SXKeUJk6xjDtogm5sxP0ubMe6vGUxNo+cbIxsO9Tcwabq82jeeELNHEjSqZaXhYd+ZqPx
qrQos8RwbKF25esoBBy5dlFoEqrqktSxKmEyzc8cMn2H/klPbwn7cdwchJ5Ye3byGST/LGvMdVIl
4XoewoxTsWxrH3+iTK3ARFROmBRaWe1EEqe1FXWIgsCF6V1vBFCV6hAngvTuzLdicAf8vZXwKV8w
fCLEtkomFH3pV2gfW87rE04Y3iPjLGZYLAmwR0sz76ZcGsPZqcGPg8tu+kt7KFmSIiSP/IBPEd3c
YhYV5SOdkDI+Nhjo1LaT9pyc8KuTg5oa9pNNwD1ndcHgxTiDzm3TOXPCzaPsRw9oYtQPOBpuEsyS
j7mU7CxSEk1uObbJTzU4djojMgo3HvQnerReyO+x8wq7LNBtcab3ZFrXXW+LO9HTYVhJCJNe0GMy
VBusWWmyb2nh0Up3qVm+SzTXh97ZLIMzTZuOjMguhpk7Wb0X6I3k2cSy5MYqNBfixArmv+dwzegu
mCXbtSd8VR36zg+Nq7RFVXNjeKVvHZSVyuGyV6Q5rEIY11d2Rtr1ppIFl66qeaY5YBT9jDDEXT78
cuuS+Yn7orB0tuySTzE0OGtWcVZlc+Bn4ESDOo+y5LrES0rTdGBXEPFnzKlGX8bvGmFN1DrMOtZ5
3LjVh8tCi6kbJvrQ0CZE129uSLdFR8e/09TmEzGB0CRZ9sl9WbynbeIfUXAn3go7Zsa4oPv8JEt6
ACv489ON2Su9O0Vsc9NTVaMrvvVYLXZdqYtz40fNI3QQyNBYNRLjWJHSOpzAv1Czmlq3obmJcHwH
6hAPNa376XOWQ1lVQ0dZtwHllD1Ip4i6Pe3S4it2s2UOSZo8XnMO8MxNghqt29Ygdh40PSzI8q0j
yscW09zUyvgmQfV4oieV2mvbaA18MLltsRzFhv++BTMUbQAj85oQSmr6B4v44Oa5YEIGwSkYUhuU
LoyR1KbBsqXlMm5YZGRzEu1AkAb5NCDG89gcdbbeTfqx9ZERahPb9OPs9634gqxt6oDMCXdENWPw
qxTgX8RQErXyoeaxyECjYIOtexz7SzW5NBPGrll5bre3Cooa+5n4blRPqIfnXZ1nVXVZOsq6IMrO
QuXRlMV4ivAlx4Fnd0V8x06k+6IvaWMrps5uJB+gI7zVl6MH0J5m3G1Ogz/5ICq4/eMKMU423dc9
Wgp+GQKgTYwrPDpqYS0/xRFBgHhBCfyFdq+La9Vp4bxr6aEn0D4HBiks39S8Ulk+2+fCqZdGfT3q
zqUlYhSIE7ubbiPRFSDJ9UrguxQaC+aOrss3QpmqXY85ghzA4A2jP7NU5K6nkCZEAGfXaR4onYq7
NF7SXVnp/PeM9aK7Kn3SbbeDUfu44YoYgYMaHrE7S0+ssmx07206+XIt0TZbSK1yoAxNCKaJxZ0R
vakTk6fJwWFSFwnZKtWF29axeYUqJXcOS+YUn0spLbrMWq2W66KjvbdiNzb0l3kecv8t/sJtF3tZ
jOxV1w9TY/HeTw7yZZAvsXv5cvD4S5WU/02R5HWN5H/+XUnm/2AlxQBJ4bw6o/1QSqEsFGOE+B6m
+e2H/ghVMX6zYF+6IBUXF5b9OlRFp5DCXPw6JPWPSgpRLNgXDJT+kA0IY+Eu0L/38T/+bhHF4tso
7D0SUghII0D1pZxFKen3WgVVqH/LRnpbuzCA2AAX5LyBYBNiyFsvT6M01Td5R0W8tqjTBmNUIA1q
Qf7twlgvnQKw1FSQKpkJTd4nqmQZIVWppueH6ObJTWDni/UEhHlUiB6deUK/CzkyPUUG1DL0pSWr
DRqYtvvFcZ+v4PVp2MDzZS1MwqV+YdvG2zv3ukHmsBvakxnp6kbEMLhsmfoXCN70s9QmVM6vHu2f
1HnAufxwSdx0wrVw1VEe+cHmoUE0rBfd+8lxYPn3kMOpJkOh26UW/WYsfY3W7EWr14++JIANBbQ1
wvbxnQHBhB1RzD+EbkIZaB7dZYNFusC8M3pyVZmb2HRUS52CQr+4yw2CYHZWWFantBPMihHtgBEf
fdiSbtIiEIUMgJRhG0kaeCfNGdVNjhFgbYgZNCN4IPJhELATyYLUBJuEG7JfAJHBzuXb5sPhiUCB
77th4JylTZeTkxh3LSJLbE74WZGjFskOIQHT1tzXgjRbrEGBSwA0q1LiszaJ5c450eXtuokj404I
bZmRXzaPuMibR8K51FXkLNk9yoDEsDFto340RsneAaZJE78DNMwd+ZNNDA3Qa3XfNjbRI6sG0cEd
mmvRnQxc9cZ5ziQpYY47OfUHHPns5Pq2Y/xFHbskjdLyeENPxbjTzNxQD9gplPbRNBYVSNIpvmvI
ReyJ6PVyHhjRV8KvdkjWo2U28qf1kHF3RrrYZjj7U8lCP0ERKxwFukpqqUW8tmgeJ0hLSvspZa/3
fpgc//0IPZCQAinaAru2cx07SxFG7xq+pGSyeAq00HtYnWhr6701Y4Tf8D2yw7GRD3L+xoYq18ru
m/l2Im4NJxoVGHGK2GjERzSqxp27fDl+k3A8kPRoTj49DrFOYLi7wTyO8jKO5HytIeNDgP0vXV8D
1aPfdO3ES0jkOHcJlkO6NEONfAPphXQvuxHoI/5U5zcTSfMUpb19+aL100aXreBY51cmOSNPBi3K
PUwuC30W6oWnMsrGh9rU2e+yOa84mOjqCvI829U4lXzjZAhm09FQDvU/u2J3i92666+NZCYfwWaf
gPSUPmASwF9x2nc6Gazmlig+rcyDYmhMupGTBejBXKeMSOMzB3eeXWLWlvw6pdNQP/KPRfq1VlLd
JIXOmu3kHLZQy9lPnYEBJ4gJg7mDa8HjyTOtcVZaKHm2mZzZG8xuVT/yzfByuVA+5h2UR46MnU6z
9gPccXVDmZYXQZtdZkeoVUBIslxHpG/M1BdD1bX7aKS0tU1Dcp4s024WTQDru1kOfPVuNXAVh87V
vBK8bf5GKY52gesvu9jBbqtTGWdGe8fJXNPea4M7Nxe90Wrt1aR87iSfyBC8xxI4+feJhXb6hj4V
7K1Ca/EIICY6zKPFBDHTPkUP0dPToo+Ej2MJ0OCLqHXAUWxEOPtgU+HtqRuaNMHLQM6UxoOrNDq4
lBiWlwJeAb8FxT1zKJ0+4y4ZNDTSdJZi5wPgqMEgcNZnoiDvnSKBa0pxpsqTRvhKyLpZsYFL1d4N
o5YtqWglAYr2EPVf0FT12UPLDCGojYez3b6rirJ0PPSSnNs3bh5p7cbIBL9JZzgdu8blmfc58IGU
or968IawyZ4J6jTQIMEQ4MxV6KNhvCtYf+ZmZQxpxBaqNDzsALie2RvFhjm3mNvdOQMmEOkf6b5y
/Egi71yauv/BHocwqGZxC/JIyUAU1XC/nDY3Wd/FawbGojaO4oOJWnxthiGqwCIZJQUIMZH26Rb2
XqM3KMn/SukCP0S00rqtVdtOSeAmuICSSaaia+vp7zubEp1Z6B81ztmrHrQ+yIyyXyWxVOjFMyP6
lHeh+7wkda9KdOjvsNleDJSoyFbIW3XtVG70EZl4uSlYpJATd+aN14TlR4EKbot2IwqBShWIcXq3
peVMNIpbc0ZfGXOWXwJZze+NtHNXvt7121kjaEoblQpKVDSbkbPLO7iXxQUkomEzSDe/ZlqvP6b+
EN+OVn4lXapZuxad0RYmqcIMgE8A0G1yG3VOfi8Lq4u2LXWLC58FjHiPZj7mmp+BjLASSnCyRNLg
skdNRrO6Y9GpP5Tws+N1OndLOoxePcQOu2nB0uOvPIezfLCQL8+1o8zVoiWnTOF2X2HftmuEoSSD
zmlEZccwzjZHfmtNz7icVmpiO7DuWmM8NQgWdl7eTEQeAmg5uDGpxJEtrtOwqndQjUlp5TN+SLO2
ZhsPcuVQTiQObabCHc5Nb4W3qOOcHb5lykYIvmGkaTORBGy2z1rcNycmbCo8ZQlDShP+YQZhtJm6
lm6qweG4IVxtD5jauYP6MH/R9Tw9ER82n1qQYvn65zuUN7VjtkS0dpfMPIOmGFXkZcv0qnY84VcC
jdRbx9YpWcNcDXU1k3/IPFdysg/pRfNTgVaM/LOupbykP7+BNy0YboAuAP+lO4EPlLTf728AtYHp
pZg+jqqv2z2gZiDr0mQVtDSIUak+VnDJ8vYXV33TzXq5qk2X0nDYalPXX7Ztrz62hZMU5SWRoE3O
NJ5YCTNT3RtUWH7+6d40EF6u42DypSzPt6u/JfWNSD6Hzqf6Z8FtZFLXWxaNEtwJ5SNmrL9+MTpj
gq+TXov/1r0smEQ0AqAofUDG2lRVbB262IGNmQDS/PmlftxJw7b2+N4YPXSy3tJ6m4iCnKZ052jC
kzm/RL3byLcCMmerU+dW3i+G6Z9cT3AQEgwTusg/uPWFB+u1zAkenVUcvv+2BpaxzpJlYwSX6y6Z
+Hp//hl/HCMeWAg+JmJdWtr6m45nhUlFJ7rXORKC2u6lpFSthKxO/x9XcUlHp0Fmw3J+M/6Rfsky
TDrnGBFjtJ+SMtm5Hryov34VDpTAPegSMe7fXMWhPN6QfO4cfXTUaweES2AocvR+fpU/eUq2T0MV
iAjTCo3779+qDHs1Xs3KPhp4AnY0bHkm4wTDZjOhljrDuiO96+eX/HH6YE5nCuFjUcnnst9fskxG
0G25Yx1JXnA+iMGLjrNORsNqyMnhLrGcGiunm5m8fn7dH1/spRMOzvWlg/vDgPQNmZCBZRvHbODl
Ciumqd5BfTinjvcL6sKffEQGB7YSvDXAyd/OVfTkWi5VGBg34wL/l6hOc9fXj7nFgKFs6q3VMmr+
+ucDTQDDf6GL22+RJKMOty1GUnEkn7Ldl4VlHnLdi3ccdH75or3wB151qZklfaoTtmVZkFW8H9+0
2Gs9ndf5OLed761AG9pyhQohv4G/iCYxzWNySCe2yUqyr5Pstbrz2IwKd4fWWRwuKvspj4zuC+hJ
k13nXObxlZdR3PvF1/LjCF9g+iALmM2XzItlzni1bpDYJHFRkM9tLG2CIAGY/Jgq1PKrMaVmvEp9
tvU/fxLix3nIp3/PvtL0kVPQkP7+mlFOvQTIO0Pc09jrKrziNT0O1X/xWsGKFdfhMt7hsJ7p5zeP
42gv3SE0jTdNZzTk9UUDxUN2SUCHJ0Ed+uc3+GffCTMlY0UApUVs8P394ZyO59HjrceCyqabSOuP
ItLMI3SrMllJsCq/eAg/vHsO/SPehkU441nW2ws2Sbds+qf5SF4tZludvgqNw5JhqmpO4z//dH92
MepGJrwTn6nm7SqAx9wHyeVPRxUpdZWWRAzpkHNhb5KokfziYj88aj6Zh1tV6OayF3ubJExYuyCz
Sp+ORMBzsIySnpHFi8gp8eef6g2U2jbIp8Atwtpt8+HQZb0ZyLkZJwpahGQBb2kU6ZzhhkAjHzO7
D7Vq7k51OlIJsSLLu6BpiDYgr12zXTX5sgxWjbpB+UCdQJMcloJOzAQUu2271wFxP/pUvUySepfq
h2wyDsd4Iaervqz8qvirEzE8E3ZXFEx9qMA/7ESScvLqxet5NOYJokM5gDNHlQFGcfrLmx4uxRgg
gIoqr0t77PuB3ke60Y8qbo8tvdsDvSM+f1M1/ob4supkleqX9cNl9Xo1MVosawQ88Oqj3AG88/Yp
lXNhiqa1raPTKOt5gTSj+kep9FIQgQlGVYfYTfu+Usr4xUsGT/ntxXm90F+aXNkw2Qm9kZVYedgT
Gp+kRyGoJM2kvpLA2CExmwfTCKQKvU+OyDJrPVad6M5+VPEGmm2U7I1+Qs9mGHTa9KGgiji/dAeb
1l329QPBBbTQGEctmPJ0N/D7r5CFayW/SSb2/pt9VhAIXV1jiofLvgyvXGMx2E20qOojqjL6gYbT
0ZCk3TUE2LKo+2UUjsJV0oy0ZLxIQiS1cVu1a11kxTVa3PTcOr22w6XjXH3z31ZumS28WITT30y4
lKX1Muhce/Bp/7X1RZ9Zrgje+nGllwgwm7mNt2IQMW6U1dAkdk/tWx9l9WTOaVnxzggo0sFQi1x8
wdhA2yaF4mIGvqqXYugUZfEVwjn+eclyrA5ORYly57fwIPYODEt8gM3Mn86N+/vmc8QcpbZ+vuxr
GgQrjzFJJdNXquWELRED23Jwn1rlZ4fI09QN3t4ixjuAQ/qCoNWxv8ZXxwMxMFC0G8i+dXZTzTrr
RTvAjtgKKCk3mW54F5EDsvHGrUX3RXU6n0KaqT0/m045WJcQWJZSlMx5zEpP+EE+Oj1xorHnW4iV
FmZcI7UuRr7NkYoGkZdbAlrJwnFqxONr6iBUrvoF57PzSNE1N6O5yC4GJ0YyP0OhODQqxU6mKlCW
mFBnVi0feQYlnDg3aXiXcrT7mwWs260z3NbxFcdFQtPpj8s60KCzHsaxpaW/HvoRHm9d0hVDOs6A
mSNGUEn4JE5sVybuhTWGeNJB7y80cVQ9yRmJGjUtrx5oYCpMRcbKSHyqjNGgq/ZOkCNErm5iM8BK
VJHGWUta1oaXfQA1e0bfHDmUGmKnom4GDoaYkJBCiNdQbavUV7+fwytvHglffynBgarnZuA9im/a
giSM0Vt0Qyfr/bfXyjGYW17UMiCFUu+ptBNKby+tRnRIcbKn2ktt3ugtpvHWsRlFuKM5GMXoupBk
dUvN3Ey74dOUVHLcqoQ6/LfWjMAajftz2UgQgE09jmzHJ+weSyW2pTyPyoLjjxI6FfiX5c/F59de
xdSu3AsbH84MiBfR+7byMprqBMfwmpJwRqchnyy+WCscLfQnvhEl113ZcCOCZOF2W+dGd1POolEf
B/QTRCHnLuT4G6/yafnbKhd3ToqzErBGmEzPnkYnY5OC77GugUlSBY5pPYP4GAQOJtZj2gAxJhOq
BYwVi25Oxhvcm+4DG/Osj1Z4b5Zskhyhl5YSLDMX1Oa1nGDkvKUNvZ5yipJbKmizR0UgtcJjoeuK
UhsV8t6jQDYPYyq/rfj/7ZPeTTXC8acvRVIiGuvb5HP/WjuOINRgI/nPoIUf+qT3/VP8Jz/wh9pc
939DUc5eSV+Ozfg1/qU2R4iuOzRCbaGjPwZX973anBrC0gH9ozlqur/p/AeKHslTLLPGX2qOem92
cDpHGQzXJnsq6mnsUt9s1itMOHE1edMl4UzaTAyqrKdpWzjSf18sh6hMKd6jMYrqU2dbHFhwnu1e
3saXHWyLRBfXfsVsspwri0Sw0Zom+6pgItbNVZWrxQeyMgGIjYTNF44VyhvNnVQJ3MEfqQrdE0UA
YHU/ABcD9y9HPHJ6HmqgtK2xOFZtyiELjaqovK9m7U7JsJfsexWOPHcQSUi/ker+kS1JM97WI1/y
LQFBLoAwiOiYXFOcSSe+S8t852WhCnQuiwuv1tmvFmTNrCJrnvobPE7M5zJPzkzsnBtdrFmBpH95
V+K/u5sJ69vzoSqSawftEzvM5M5LLVoTJDTANKrsc6/a5kCOcrSNq3B48hGRrXhRw3SVZC00DBrI
gV+NUw7qXc1EVaBiw6PiRis6f4SCSqmPzcmgtl0SxFB66hzTdNIOSlaSoOtMi6Zb+mLDjFiPFSQi
B4ADvbszEkq8uzHUq57WLOVxkeTYB8cmUzdODgr9slZwGXgKgMeNYjy8DPP/zgi/mBF8Sik/mxD+
mEX+Vn39G3rfofj0vRvl28//Pj+4RIsuyHMqGNSnX97qP9worvsbu3eab5yxlnynJXX0dw2FSYYo
exOK6SZOFHbf/NHvGgr+iIonKWDLIZByIH/0RjPxUw2F8WZv7evMXhZba4wonMOWT/66jkCaWibo
dOt7qLNBEX3lQPtOTeEhXXSvstwXiX7s9HDjh8MHkcEchYbw6sv7E2mC//ZssdwC23u0HHxmg9rg
97dQUfapPS/S91U76efQ+jChYu/GbFMW2ygjDFDvm2Ht11G54ihwWddRunMBcGyk8YjxPZjjdVkj
ONLRYCaVt+19ODD0fJvYoWtgozyoSTIfI2af+rOlCv5SvKILT6vvY9oZm+UfJ8taYV2970hHIIJw
1WmbyYZCx5vHlJI5F5SbaM7Mel8NKzhTprnWM/TYZvl+4v0jYcXcK3qBhRmtaG+cIjpQKzjO11bf
4X/OvRXoqUvbTr2V2ZvdpssuLG24ppw0bBQ4CEPz+2vHfxSmtuki92nuuIMixcnsEJ3ggLBpAD3G
8Wao8vWoCnKasxsimu5S7M8b1MSbsa8/Dr6h76COXNFPwm1bfpqjIejTLGgcme+cmduQfU/GA+b3
Qln6DiTMhPFBfi6hGkZ0CC5K5KWrXMf47HRcbGa3bL6LFi7GfyeX/8TgJjikcX7999uNw5enuHq9
3/j9J/7YbwjxG+8r/xVU4jAlclj+w90m3N8Mk1d5We9fdhZ/KLLYouBToiLmUHf/FmL8L0UW5Qqf
XQpCaZ9KpvlXZhNmpu+nE8DKbGBeKlRo9On9vJlOMhE2EJhC52zHlgbAv1TNCQf9ZGwwhU3Lkkgv
LzPLI0ZRJ7+dk9r2P9EYe46r2b61SIWxA8Cnd0wX6iFzteRkoyHFrm9ga8YL5XjFyp87n6Bic1nc
tXxZ6FGRyOaeEPNQW9Gczs3ilPlJtxvHPE3JjoqhIsgm97ZJF5cHUlfNwE0HFESTiNZlkVvYIzw4
jIkw4HT6w3VWo0Alh06GF8immI0GNPSTMzZH2JjyC3Lsj1bRe18sPOpoqit3p9dJ/bEtMj2w7MI5
AJB7MoFJ8Hm9eEpXrtHGp3mK1V4HxIc719POZaqFau1il42R2rVh0HIyGTHR14Moxq3dARDhuCfT
d1ocGw8czy+swazXIlF10IEAvZk6fOz90FCv6PWHnAidewV59J0q1SIL9h+Ugkw16nBnzbG4tlIk
XlQ9jHMLze4wYLQOYOIlFwXljgOgseQSfOcT4gj8OZxTN3btZKcGm+sur7TxU5e54YFIFHOblSJH
6psgr0o98UzYAbYTr2urvW8kz8NgtBsf6s4HW3jQO6KEDmOD8SFoitz7aBhDtrFdArGUVz0USfEA
zzq5JO2R2kcsx8cQLsEGggxIjSzBVkVZDacAKiQ68MVoixUl5eLWnZXlrEI9rg/LiLxvOEdvCclO
MIYPOeRkg0LIKnbdnruH3kju2wg3cKRRuK5zJQd4ASK6sTKRXWEdn9+FMtaDeLaai9g0MDEkurK5
illtyH+2duRwgWjFNJTcSqfLL2j+Txckf5mXFOnTLQUDeYXYod2WXQebyLPykvOl2QdDptVffZCV
wyqSltiRDSQv2jlM9oqe4UUfenO1Uo6MvgC504Ic08w+Fj2rAuIg9yRqn9MkqBeUgeWkr5zWn+Ei
lQblISKKCINCTvjeVNMgAdoCqyCCuplQ0LjALiAFgwwz7CAD6YukozD801gUKoVcYaFQGJuq3foS
LW/DTbmNUx/hZXT3UYvNbTXiQPxaDXO1AQXs792EhbC1iZCeIY2boI5wWoURBYNWwzQHZKkITHTZ
WzfV/YdknIgWa91THZbJFT6aeJtHtv5pdES+heLpfIYWNtNHLcY4cEZ0CrLVbCADvfyAkc684pjt
rnXXIw8EJ2oUlJmcTpXUrD7wvLA6UgSU9Rpte7yZBmO+4iRQUaDCg+E4isAXZRqHzsjam1yHB0Mr
enhvE0t5nSQlHNM0ZDfj+lFy0mpzWtmF7xUYWvlIeOc8ImJw/wWFK6mUtOO0AVyV4mQjsDmR3nwP
2kjhjW3ENuZwCCOWrAvEC+ElSWDtFVEba3JA2jsq084N+NZ9W5rzOznocLsUDL+B1xrIlqEOSVjI
vUdK2lVaGABapegAkNTedAvmq74sutG4Qy+Ufkx00ZDOniG5kq08eFMSh4eSgu2tShti7yqkPqrW
LwtX2+hlJa8jq2kvprRG52l4+rkbeNyVXcKaKRLKXHrjryNOb4e5EV9wsTnn2mrKgyFG4wAPylkl
wGIDVZJ1vDxk+EC4uugy3WkuuqDVZJj97ezH03Oh13Uwc/LbU1Czrol8LzgeCQBstBZiSCF2tkMH
U6+TkIlcN+aedMhB3Ze5jhSnLqMAuLVzSYFDQ/XERORHgBzDzPcegTjEe3w/KAdwV21ai9rsOsW4
8sgiOO/ZQGvPAuEScq/YDCbHGr4SL1bh9kiqm65xRICybtUD1H+K5gIIg8jztYFbYOeNndYGED7j
R2OOiJYt8puuqoYjrcYyMNu2Phl51F+R1F1t0TfNV7pI/Hcd7KNm1Q/hTEPCaXeFVeGyBLCzxps4
rgdQBM/4DMcNrebPoA3HIGPOJNkqk/FSDdMuYs1qqEPa8qFWfhJYop5vHIAzsIwq55FAKN4N06nX
MxSuA+VuRWFv0JiwIrmSdmJ9zOjC4XBokrMIyxLOTyWeJOKZtern+xD0V2DIydjbo1MX6GTg8SWc
3de1PnsHOKE3sy4O7B4IlWiJm91kOrrCVYkAfI0e+lrWWfSgKbsI0oFt8OSUMfE43VSutCaS7/XI
aY6knbrHyIsJNlxINXvmTS3oev2i+3/cndlS21oWhl8lD9CiNA83XdWezZgECDncqBzw0TxYs/X0
/cnGOdiQhESuaqpdyQXYbG8tbe1hrX99C1f657YtP5bEiwjQiOEZ9YfBlzH2bnx4j6c2uFkeCW8a
W1J8rrdI0yxT+BysLYZaDUF6oCi2M1QpCjUjLFROqCAbjnP4x0PRtBFyp8EU9FQ5t4kBkOQlwgRK
I3XOA+VOyigh2lJAC5ObEEyraUfnDvJEliK7XriemE4F0ivO2io3HigXGn7L8lS41PIMX3SkXbem
egvUK78MLHt1DoHYmGcFaEwTTOF4pRnVLc65EsJ3tIB0W8xd33Amq8BL4OCuqSnUhoZOEUUnp+yK
DavFc9TP5FYnH9uVBsWPlasin/GT5KTyX0Id1+cWq7I7UCS7upM8T5iFbaWdRymBDohRE5gAqyFB
zqtAV780Qq0ORDMKx4TDbaqhVOENNZTTaUkZtqvULKg9mKeEulb20gwo9EmJLXdqonMfkGgXzvIk
bM9dVa3PUrLcv1ZW7kGfqRJgyeFqpOpa+7e2Cm9cFI0kxvnGdWDThUIKiiH9o1qjr1xUzKpjit7d
27kqDKJEda/8NDkP0atfNHpzjvRMvQ1XQXy68hV1jGyq6qQX1sRrAvueIjvNlKTk7J6qVnhoLLxK
qFarOTTCchLq+X0tMa+AdZUQhnf5LE40Dkt3IZRg6bI1nEPD9NtTy1oPEKCH0IzO4BSo5MknEajd
MHGGrikmQ1c0wltf0ONrNlXBWbwyWeo1yeY8Vgemf5UkhTSlQmV6GToqDjElnZqNmF3AlaICTqMJ
U4h80UR0ZeccQS3TjuyXM8f2PdgCta9/XGlpM0c5Lk3g5ZC54oPOr9X6PuecOUzACKRTsuzaqxSc
5zDQMuk0Qd490cy6WZSmbYYD8i7ZpMAf1wYBGUVgGEmCGWlJ2zzEwFDv9XU1FNnmLiIH3SYd+Tsq
o9XEh3hLJjcVIciKFk2wpoEwc1qoNEPS2iN/IKlBjE8IYqASqPq4riJqfwuq82gXGWULKZ3KkqZn
xUCzSDsIAv+Kfe+w8MRwUst6OxHtlBUUGu1pyzwAYpLdpovnc2Yrgvi3iWJiUKyp5FxS+H4E2o/I
kRdlSBZLkoXD4JOGTlUZ5KDHzmwb1ucqlv25yK2+Jx3WmcmNbY+NuCRi5qzz4DQjsDB0XCEfrWoU
kYApbePryhUzayKVBqCZVvxE3KdC9r92/EupLqSHhsICV23DCRjpbDhU7ECe2HEbxtK12dilb4/s
Cuz4g1dGFeW4opiqhTdGA3AQFKdmdojdxrSSm3pdYTVoEFSzXA+smJ3ywM90qeUATxWsahjXXdqb
BfBpRO58PBKoi1MMKmfdLIl2uY+1RQ/ZI2hf+ZvkHn6DPVnLVTq313aTDaTKbEbE573TkuSxi1XK
p5NchxLKk6cE62zCNwoXgWWtRqUDgtYztDTBe9nEj5ktSheJ15hzhGiAXmsOc5dGqd+0LoILwrD6
owqy0yZ22aZntmbVY40qfng6ibn5epSdClEafRJr1x3pSrJ2yIOpy5kaFpz/qV05YtcnjxKVLYxc
59HAcbxgBqsYFCD1Hc7EOEeFKRL298jlGZuh24w0fR3BqxL4PhF9+W3jVepdDiuyGeReCnI5lwTi
gCJ8YRHLfa5RZsE/LdZ/kbdx5fgmZhVDq7luassZVbCVbYrIteLFGgzm0C9yMFcQSWGcQE0uB7aT
mlcmq7DfQSTLOXkk7JFzRBWnTeT7N44ZQkZh68mZKa8u13HrXEdam0/MztgA9fwpDhVOX5ocuZeC
XcHWQu1YjXUywefQyVbXth2JBem/fLRsLQ1EVxZ/Lhw4yaT4rb5khJy+Sqm5+honzhebenznKgWf
SX+JRWGmyCn4xNiCv1tW4pmBm/u6gitCvQjKMBgXZeOqn2J3tTDaDJ102lKgZiC4Innbtciy77WO
WnfOcP0qCNfhnS+m/i2gN3tK0hB5/GtAgFOOQsVtkJX1I8J2ZZjKqnOWR05KqTknnviZz0PYECQa
EEvW1gOOHux1qDAsj2xXq7/BEBfZ8QtaPsiSZv1xZXQpd7EVep8zx2IntmqzFWqhUh7npiCN8U9b
8zpQvbnbtv655lbePFIs4zLUODlQIpbBJArfQjNpbwnQdQAsSefilDWThqgF67uAqYKYWkXp3NY3
2ithnbRInVN7WnREM/AL5gg9u04io1oMpJXonNoUGsPRLgtDz7OSWezbeMg5llG+N+42spKWnWsK
m2svhqjFDOaMLVjJQBZyD/bX16SozehKCvxcGYfImpWLlcQqMEAJAMC2dPVcRMCl6u2jAHet/ihZ
gj/TXcQfXlwJ67sCpU5z09bUpFUHQsGBt/hYijnCq3FZGrJBDoKSNfUZJgHuPkkcnIpDJZeSMhj8
izBGTmBPaC4hRExtwVjdhJQS+PLM/fOKf3Tj/3ymvUAUjdgHjpHBrgzvzqHENV01NfJvqb6kFLI2
oiCrSyU6FNJNBIgCIoZzjwZsWvnyqRJoE0HNJporjU0DV2nZjiHPjbnUqdX6I4iCvxBnHIiStn3T
ZVHqkDxwk7oo1DMZWiRVq1hEOXqZptmlkbJXtGde9YsKaa99idRp8oihoUA7NIDmFwDOrKq+9GSq
+fFfp8hIbCST/y+X5FPg5lXo1neff/fuR/h6xU3ygsz1pg/tggmvN/Q2ildHqcEzuOfk3HRqwxD7
WRvhovCK8pGArSoTArGIzaJI3rwIC4CU4+SweVuACHeiobiC8yVuP/D8br/e+5f0sh+Z6ihWQNGG
d7afFQxScFEz8uxvLxKz7llBFrGC3iXASvh40dy/PysoXUmxXlYgNI6ujmCY/mSFg7FgmOQVM00y
OWyttPWwP3tg/uw+v2W8/Gw0/0OoQ48qE3rrZQUVOYGhkULZCeCeDwJDPkFxp+P0J4LWvZhA+aZ3
dPm4LLqlod/l8yiQ44Mr/OkqYWA9twLj/wRRuoJ+cGsF3n9vVsAd19cKyglBHBBqncK5ex2OBemE
ArU6WmDiPd1rO+re01hA8ru9NdtM/+9T9e8sDlylTCCNK/1+lc/HgmWdmCwQXZB8+/77eyIIj/We
EPQTRUU4gFR7e5VM/ntWAISJUF/kkXhvj4JE5KPv5cvmCSFLtgBdNcnudXD5JvgK00D9hAk2r3e3
Ksgi4qS+E4J8IpEzaUA83l7lgRUMmBscIACYbqeedzQTIJd/6lSPmUBmUcQ/aQAA2d3kvWdAOekm
Sh112PZ9lDTva1XoAuXsZ/qtjXBtFV1Smfq3a9/hNpG1EfU+k8XTXuwdjYLXBJi/e1hQrBPSVLp1
72lVZG55PgooSnyik8CwkUu9s/svk7vXe1cggjxmydeU7SmgW/WfX7+hdpevcU5/2hptN2PvaBS8
pov53VHABplsY5b9DuHcvQ6OCRKCXL2r1MBR4X80CzwkZVx0GG2Hgi/PVT5yJxx+yxxw0MI/B2ae
AaZ5JkKF1OvudbAzZE9ElhUav05Y2L1+Ywy8YaB8dy6AWA8fN74Hb5lv9nTbY9QvP7A7c79s4Bnq
u7PT3gc7Mee26e1pq/v533tq781B6Nmbu4PR5nue/vzpAl9+9d537a5q98uZt8wW2YO73ryxfurm
llT+n3DxbREtnt9jnk3uyT89eaFK/37/f9FwHhy0q6Kz6t0u2U5JvN+w1dHJ+zccLOJ8ke9a6ojt
kMPYp/Rt+ac0+B+r8d5kZpS9SbZ43JPikfrM9qF3r5M4Xj4U3kNZ7BrrTMLSzXzVt/HRMlzUi2y5
a6lr2QSUtvv5Ve3zmwzyRtlzT7NPsLr3uD8Kt2eFvpaB3UfK337LWxBG35ZnWNzzdhbeDG9SZo8w
Un6oBe1p5Dn8KAoD7z+R+BCPMP7m8aO3OJhFVLOj0fW18jyp92/e9vTQt9mzl3NTB1rv398zelY+
BOtdS5tx0Xlqd7/480fxPCm9/IWZOwZK/7YvFl68N3vgQjjG8nKxyNbhIn7c9bAzh0zJCba+fW/h
xSLPFw9umS+LYm9MP52ve7fvPfyQlNnzSbygztySENzeyJa3vqH+3c5zj39pujc3yV0a9RGMTtMJ
GdK7ljb3U8JNv/vFnw/viyQuDuYQgDum1b/ly+W3bHGwe5K3/si+1r5cVov9dYsDt3KE7dPlsv4w
W0Rp7nr7yzrtd+7k/h2vP5wus3y5N1M9nUqP0fjFkirIe/soGu+8f8do/C8Kiu9a2gxBRItHmLxJ
rC7cD8NFlrBS7j+c+FmO9gWjRXD47G8jJX1Nc+V6+xYn6egICw9qFLJT9k81MukmR1h3rrKlc3gk
Js6xu7d/Ppt8XMZxjiptcVA0SgbjdYR+f3aTx+WHef5ibSNpjxN23xt53ZGTXx2Ind/wCLd0+wUv
B+KTW7Jv/2+w/jLPl3tbCtIMyW7ubZubZbN/qiT56RgH1h9lfPdc678ss4iVbXfd3Wz1FBbua+Qv
Hiebg+GtkFN5hPF3t2DdiZ1i/9FUttKGvv2+W+bFh1c7j6ToCIeROy9/ACPq7XnaSDXtkuV7932d
QBRwdg1t7uZW9vLzll/zNH2P1b/0P+0kCK/92b5zrfvEQ7hcZP/+LwAAAP//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Aptos Narrow" panose="02110004020202020204"/>
          </a:endParaRPr>
        </a:p>
      </cx:txPr>
    </cx:legend>
  </cx:chart>
  <cx:spPr>
    <a:solidFill>
      <a:srgbClr val="2C3E50"/>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jpeg"/><Relationship Id="rId13" Type="http://schemas.openxmlformats.org/officeDocument/2006/relationships/image" Target="../media/image11.jpeg"/><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image" Target="../media/image10.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9.jpeg"/><Relationship Id="rId5" Type="http://schemas.openxmlformats.org/officeDocument/2006/relationships/image" Target="../media/image5.png"/><Relationship Id="rId15" Type="http://schemas.openxmlformats.org/officeDocument/2006/relationships/image" Target="../media/image12.png"/><Relationship Id="rId10" Type="http://schemas.openxmlformats.org/officeDocument/2006/relationships/image" Target="../media/image8.jpeg"/><Relationship Id="rId4" Type="http://schemas.openxmlformats.org/officeDocument/2006/relationships/image" Target="../media/image4.png"/><Relationship Id="rId9" Type="http://schemas.openxmlformats.org/officeDocument/2006/relationships/image" Target="../media/image7.jpeg"/><Relationship Id="rId1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xdr:twoCellAnchor editAs="oneCell">
    <xdr:from>
      <xdr:col>1</xdr:col>
      <xdr:colOff>2</xdr:colOff>
      <xdr:row>12</xdr:row>
      <xdr:rowOff>5951</xdr:rowOff>
    </xdr:from>
    <xdr:to>
      <xdr:col>3</xdr:col>
      <xdr:colOff>579</xdr:colOff>
      <xdr:row>30</xdr:row>
      <xdr:rowOff>47625</xdr:rowOff>
    </xdr:to>
    <mc:AlternateContent xmlns:mc="http://schemas.openxmlformats.org/markup-compatibility/2006" xmlns:a14="http://schemas.microsoft.com/office/drawing/2010/main">
      <mc:Choice Requires="a14">
        <xdr:graphicFrame macro="">
          <xdr:nvGraphicFramePr>
            <xdr:cNvPr id="30" name="State">
              <a:extLst>
                <a:ext uri="{FF2B5EF4-FFF2-40B4-BE49-F238E27FC236}">
                  <a16:creationId xmlns:a16="http://schemas.microsoft.com/office/drawing/2014/main" id="{4BDFE12A-57CC-4638-89BA-FAF62F33665F}"/>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78596" y="2149076"/>
              <a:ext cx="1257537" cy="50125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11905</xdr:colOff>
      <xdr:row>7</xdr:row>
      <xdr:rowOff>11907</xdr:rowOff>
    </xdr:from>
    <xdr:to>
      <xdr:col>5</xdr:col>
      <xdr:colOff>648175</xdr:colOff>
      <xdr:row>11</xdr:row>
      <xdr:rowOff>1</xdr:rowOff>
    </xdr:to>
    <xdr:sp macro="" textlink="">
      <xdr:nvSpPr>
        <xdr:cNvPr id="50" name="Rectangle 49">
          <a:extLst>
            <a:ext uri="{FF2B5EF4-FFF2-40B4-BE49-F238E27FC236}">
              <a16:creationId xmlns:a16="http://schemas.microsoft.com/office/drawing/2014/main" id="{F4717939-CBA7-0857-A9DB-B5974FB65EF6}"/>
            </a:ext>
          </a:extLst>
        </xdr:cNvPr>
        <xdr:cNvSpPr/>
      </xdr:nvSpPr>
      <xdr:spPr>
        <a:xfrm>
          <a:off x="190499" y="1262063"/>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 </a:t>
          </a:r>
          <a:r>
            <a:rPr lang="en-IN" sz="1200" b="1" kern="1200">
              <a:solidFill>
                <a:srgbClr val="ECF0F1"/>
              </a:solidFill>
            </a:rPr>
            <a:t>Total</a:t>
          </a:r>
          <a:r>
            <a:rPr lang="en-IN" sz="1200" b="1" kern="1200" baseline="0">
              <a:solidFill>
                <a:srgbClr val="ECF0F1"/>
              </a:solidFill>
            </a:rPr>
            <a:t> GDP (in Billions)</a:t>
          </a:r>
          <a:endParaRPr lang="en-IN" sz="1200" b="1" kern="1200">
            <a:solidFill>
              <a:srgbClr val="ECF0F1"/>
            </a:solidFill>
          </a:endParaRPr>
        </a:p>
      </xdr:txBody>
    </xdr:sp>
    <xdr:clientData/>
  </xdr:twoCellAnchor>
  <xdr:twoCellAnchor editAs="oneCell">
    <xdr:from>
      <xdr:col>1</xdr:col>
      <xdr:colOff>77390</xdr:colOff>
      <xdr:row>7</xdr:row>
      <xdr:rowOff>59534</xdr:rowOff>
    </xdr:from>
    <xdr:to>
      <xdr:col>2</xdr:col>
      <xdr:colOff>46037</xdr:colOff>
      <xdr:row>10</xdr:row>
      <xdr:rowOff>125017</xdr:rowOff>
    </xdr:to>
    <xdr:pic>
      <xdr:nvPicPr>
        <xdr:cNvPr id="51" name="Picture 50">
          <a:extLst>
            <a:ext uri="{FF2B5EF4-FFF2-40B4-BE49-F238E27FC236}">
              <a16:creationId xmlns:a16="http://schemas.microsoft.com/office/drawing/2014/main" id="{611F128D-0640-D343-73CF-12076DFDC7D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5984" y="1309690"/>
          <a:ext cx="599678" cy="601265"/>
        </a:xfrm>
        <a:prstGeom prst="rect">
          <a:avLst/>
        </a:prstGeom>
      </xdr:spPr>
    </xdr:pic>
    <xdr:clientData/>
  </xdr:twoCellAnchor>
  <xdr:twoCellAnchor>
    <xdr:from>
      <xdr:col>2</xdr:col>
      <xdr:colOff>226220</xdr:colOff>
      <xdr:row>8</xdr:row>
      <xdr:rowOff>119062</xdr:rowOff>
    </xdr:from>
    <xdr:to>
      <xdr:col>4</xdr:col>
      <xdr:colOff>788195</xdr:colOff>
      <xdr:row>10</xdr:row>
      <xdr:rowOff>77389</xdr:rowOff>
    </xdr:to>
    <xdr:sp macro="" textlink="Analyse!A3">
      <xdr:nvSpPr>
        <xdr:cNvPr id="52" name="Rectangle 51">
          <a:extLst>
            <a:ext uri="{FF2B5EF4-FFF2-40B4-BE49-F238E27FC236}">
              <a16:creationId xmlns:a16="http://schemas.microsoft.com/office/drawing/2014/main" id="{A4F05F28-72FA-9670-0621-818AEACEC987}"/>
            </a:ext>
          </a:extLst>
        </xdr:cNvPr>
        <xdr:cNvSpPr/>
      </xdr:nvSpPr>
      <xdr:spPr>
        <a:xfrm>
          <a:off x="1035845" y="1547812"/>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1EA36A2C-C89E-41ED-B567-3469FC077771}" type="TxLink">
            <a:rPr lang="en-US" sz="1600" b="1" i="0" u="none" strike="noStrike" kern="1200">
              <a:ln>
                <a:noFill/>
              </a:ln>
              <a:solidFill>
                <a:srgbClr val="2C3E50"/>
              </a:solidFill>
              <a:latin typeface="Aptos Narrow"/>
            </a:rPr>
            <a:pPr algn="l"/>
            <a:t>$6,263.00</a:t>
          </a:fld>
          <a:endParaRPr lang="en-IN" sz="1600" b="1" kern="1200">
            <a:ln>
              <a:noFill/>
            </a:ln>
            <a:solidFill>
              <a:srgbClr val="2C3E50"/>
            </a:solidFill>
          </a:endParaRPr>
        </a:p>
      </xdr:txBody>
    </xdr:sp>
    <xdr:clientData/>
  </xdr:twoCellAnchor>
  <xdr:twoCellAnchor>
    <xdr:from>
      <xdr:col>5</xdr:col>
      <xdr:colOff>976313</xdr:colOff>
      <xdr:row>7</xdr:row>
      <xdr:rowOff>11906</xdr:rowOff>
    </xdr:from>
    <xdr:to>
      <xdr:col>8</xdr:col>
      <xdr:colOff>761286</xdr:colOff>
      <xdr:row>11</xdr:row>
      <xdr:rowOff>0</xdr:rowOff>
    </xdr:to>
    <xdr:sp macro="" textlink="">
      <xdr:nvSpPr>
        <xdr:cNvPr id="53" name="Rectangle 52">
          <a:extLst>
            <a:ext uri="{FF2B5EF4-FFF2-40B4-BE49-F238E27FC236}">
              <a16:creationId xmlns:a16="http://schemas.microsoft.com/office/drawing/2014/main" id="{0327939D-C7CC-B6F8-21BF-90D6EC0EFB69}"/>
            </a:ext>
          </a:extLst>
        </xdr:cNvPr>
        <xdr:cNvSpPr/>
      </xdr:nvSpPr>
      <xdr:spPr>
        <a:xfrm>
          <a:off x="3536157" y="1262062"/>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 </a:t>
          </a:r>
          <a:r>
            <a:rPr lang="en-IN" sz="1200" b="1" kern="1200">
              <a:solidFill>
                <a:srgbClr val="ECF0F1"/>
              </a:solidFill>
            </a:rPr>
            <a:t>Total</a:t>
          </a:r>
          <a:r>
            <a:rPr lang="en-IN" sz="1200" b="1" kern="1200" baseline="0">
              <a:solidFill>
                <a:srgbClr val="ECF0F1"/>
              </a:solidFill>
            </a:rPr>
            <a:t> Population</a:t>
          </a:r>
          <a:endParaRPr lang="en-IN" sz="1200" b="1" kern="1200">
            <a:solidFill>
              <a:srgbClr val="ECF0F1"/>
            </a:solidFill>
          </a:endParaRPr>
        </a:p>
      </xdr:txBody>
    </xdr:sp>
    <xdr:clientData/>
  </xdr:twoCellAnchor>
  <xdr:twoCellAnchor>
    <xdr:from>
      <xdr:col>6</xdr:col>
      <xdr:colOff>720326</xdr:colOff>
      <xdr:row>8</xdr:row>
      <xdr:rowOff>130970</xdr:rowOff>
    </xdr:from>
    <xdr:to>
      <xdr:col>8</xdr:col>
      <xdr:colOff>145254</xdr:colOff>
      <xdr:row>10</xdr:row>
      <xdr:rowOff>89297</xdr:rowOff>
    </xdr:to>
    <xdr:sp macro="" textlink="Analyse!B3">
      <xdr:nvSpPr>
        <xdr:cNvPr id="54" name="Rectangle 53">
          <a:extLst>
            <a:ext uri="{FF2B5EF4-FFF2-40B4-BE49-F238E27FC236}">
              <a16:creationId xmlns:a16="http://schemas.microsoft.com/office/drawing/2014/main" id="{E4314595-DB0F-86FB-CCCA-AC131E71B3BD}"/>
            </a:ext>
          </a:extLst>
        </xdr:cNvPr>
        <xdr:cNvSpPr/>
      </xdr:nvSpPr>
      <xdr:spPr>
        <a:xfrm>
          <a:off x="4566045" y="1559720"/>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EFEB587-C03E-4533-B407-68B696938BFA}" type="TxLink">
            <a:rPr lang="en-US" sz="1600" b="1" i="0" u="none" strike="noStrike" kern="1200">
              <a:ln>
                <a:noFill/>
              </a:ln>
              <a:solidFill>
                <a:srgbClr val="2C3E50"/>
              </a:solidFill>
              <a:latin typeface="Aptos Narrow"/>
            </a:rPr>
            <a:pPr algn="l"/>
            <a:t>76074121</a:t>
          </a:fld>
          <a:endParaRPr lang="en-IN" sz="1600" b="1" kern="1200">
            <a:ln>
              <a:noFill/>
            </a:ln>
            <a:solidFill>
              <a:srgbClr val="2C3E50"/>
            </a:solidFill>
          </a:endParaRPr>
        </a:p>
      </xdr:txBody>
    </xdr:sp>
    <xdr:clientData/>
  </xdr:twoCellAnchor>
  <xdr:twoCellAnchor editAs="oneCell">
    <xdr:from>
      <xdr:col>5</xdr:col>
      <xdr:colOff>1041797</xdr:colOff>
      <xdr:row>7</xdr:row>
      <xdr:rowOff>59531</xdr:rowOff>
    </xdr:from>
    <xdr:to>
      <xdr:col>6</xdr:col>
      <xdr:colOff>151067</xdr:colOff>
      <xdr:row>10</xdr:row>
      <xdr:rowOff>127253</xdr:rowOff>
    </xdr:to>
    <xdr:pic>
      <xdr:nvPicPr>
        <xdr:cNvPr id="55" name="Picture 54">
          <a:extLst>
            <a:ext uri="{FF2B5EF4-FFF2-40B4-BE49-F238E27FC236}">
              <a16:creationId xmlns:a16="http://schemas.microsoft.com/office/drawing/2014/main" id="{093EB548-5587-8EE1-E954-1DB6B188CA0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01641" y="1309687"/>
          <a:ext cx="603504" cy="603504"/>
        </a:xfrm>
        <a:prstGeom prst="rect">
          <a:avLst/>
        </a:prstGeom>
      </xdr:spPr>
    </xdr:pic>
    <xdr:clientData/>
  </xdr:twoCellAnchor>
  <xdr:twoCellAnchor>
    <xdr:from>
      <xdr:col>8</xdr:col>
      <xdr:colOff>1101327</xdr:colOff>
      <xdr:row>7</xdr:row>
      <xdr:rowOff>5953</xdr:rowOff>
    </xdr:from>
    <xdr:to>
      <xdr:col>12</xdr:col>
      <xdr:colOff>481488</xdr:colOff>
      <xdr:row>10</xdr:row>
      <xdr:rowOff>172640</xdr:rowOff>
    </xdr:to>
    <xdr:sp macro="" textlink="">
      <xdr:nvSpPr>
        <xdr:cNvPr id="56" name="Rectangle 55">
          <a:extLst>
            <a:ext uri="{FF2B5EF4-FFF2-40B4-BE49-F238E27FC236}">
              <a16:creationId xmlns:a16="http://schemas.microsoft.com/office/drawing/2014/main" id="{B0B423EC-67E1-9DD8-FFB2-D7401F846CA5}"/>
            </a:ext>
          </a:extLst>
        </xdr:cNvPr>
        <xdr:cNvSpPr/>
      </xdr:nvSpPr>
      <xdr:spPr>
        <a:xfrm>
          <a:off x="6893718" y="1256109"/>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kern="1200">
              <a:solidFill>
                <a:srgbClr val="ECF0F1"/>
              </a:solidFill>
            </a:rPr>
            <a:t>Average</a:t>
          </a:r>
          <a:r>
            <a:rPr lang="en-IN" sz="1200" b="1" kern="1200" baseline="0">
              <a:solidFill>
                <a:srgbClr val="ECF0F1"/>
              </a:solidFill>
            </a:rPr>
            <a:t> Income</a:t>
          </a:r>
          <a:endParaRPr lang="en-IN" sz="1200" b="1" kern="1200">
            <a:solidFill>
              <a:srgbClr val="ECF0F1"/>
            </a:solidFill>
          </a:endParaRPr>
        </a:p>
      </xdr:txBody>
    </xdr:sp>
    <xdr:clientData/>
  </xdr:twoCellAnchor>
  <xdr:twoCellAnchor>
    <xdr:from>
      <xdr:col>9</xdr:col>
      <xdr:colOff>636981</xdr:colOff>
      <xdr:row>8</xdr:row>
      <xdr:rowOff>130971</xdr:rowOff>
    </xdr:from>
    <xdr:to>
      <xdr:col>11</xdr:col>
      <xdr:colOff>466722</xdr:colOff>
      <xdr:row>10</xdr:row>
      <xdr:rowOff>89298</xdr:rowOff>
    </xdr:to>
    <xdr:sp macro="" textlink="Analyse!C3">
      <xdr:nvSpPr>
        <xdr:cNvPr id="57" name="Rectangle 56">
          <a:extLst>
            <a:ext uri="{FF2B5EF4-FFF2-40B4-BE49-F238E27FC236}">
              <a16:creationId xmlns:a16="http://schemas.microsoft.com/office/drawing/2014/main" id="{0BFE50E6-65F0-756D-E2DC-EDDB36D675A2}"/>
            </a:ext>
          </a:extLst>
        </xdr:cNvPr>
        <xdr:cNvSpPr/>
      </xdr:nvSpPr>
      <xdr:spPr>
        <a:xfrm>
          <a:off x="7893841" y="1559721"/>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022DF3A-ACA8-420E-A1F5-9567ABF1FB1F}" type="TxLink">
            <a:rPr lang="en-US" sz="1600" b="1" i="0" u="none" strike="noStrike" kern="1200">
              <a:ln>
                <a:noFill/>
              </a:ln>
              <a:solidFill>
                <a:srgbClr val="2C3E50"/>
              </a:solidFill>
              <a:latin typeface="Aptos Narrow"/>
            </a:rPr>
            <a:pPr algn="l"/>
            <a:t>$44,562</a:t>
          </a:fld>
          <a:endParaRPr lang="en-IN" sz="1600" b="1" kern="1200">
            <a:ln>
              <a:noFill/>
            </a:ln>
            <a:solidFill>
              <a:srgbClr val="2C3E50"/>
            </a:solidFill>
          </a:endParaRPr>
        </a:p>
      </xdr:txBody>
    </xdr:sp>
    <xdr:clientData/>
  </xdr:twoCellAnchor>
  <xdr:twoCellAnchor editAs="oneCell">
    <xdr:from>
      <xdr:col>8</xdr:col>
      <xdr:colOff>1161655</xdr:colOff>
      <xdr:row>7</xdr:row>
      <xdr:rowOff>65486</xdr:rowOff>
    </xdr:from>
    <xdr:to>
      <xdr:col>8</xdr:col>
      <xdr:colOff>1596884</xdr:colOff>
      <xdr:row>10</xdr:row>
      <xdr:rowOff>133208</xdr:rowOff>
    </xdr:to>
    <xdr:pic>
      <xdr:nvPicPr>
        <xdr:cNvPr id="58" name="Picture 57">
          <a:extLst>
            <a:ext uri="{FF2B5EF4-FFF2-40B4-BE49-F238E27FC236}">
              <a16:creationId xmlns:a16="http://schemas.microsoft.com/office/drawing/2014/main" id="{88F4B13E-7B5D-9E02-5FC4-2441C8D02B1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54046" y="1315642"/>
          <a:ext cx="542385" cy="603504"/>
        </a:xfrm>
        <a:prstGeom prst="rect">
          <a:avLst/>
        </a:prstGeom>
      </xdr:spPr>
    </xdr:pic>
    <xdr:clientData/>
  </xdr:twoCellAnchor>
  <xdr:twoCellAnchor>
    <xdr:from>
      <xdr:col>13</xdr:col>
      <xdr:colOff>125016</xdr:colOff>
      <xdr:row>7</xdr:row>
      <xdr:rowOff>5954</xdr:rowOff>
    </xdr:from>
    <xdr:to>
      <xdr:col>18</xdr:col>
      <xdr:colOff>439817</xdr:colOff>
      <xdr:row>10</xdr:row>
      <xdr:rowOff>172641</xdr:rowOff>
    </xdr:to>
    <xdr:sp macro="" textlink="">
      <xdr:nvSpPr>
        <xdr:cNvPr id="59" name="Rectangle 58">
          <a:extLst>
            <a:ext uri="{FF2B5EF4-FFF2-40B4-BE49-F238E27FC236}">
              <a16:creationId xmlns:a16="http://schemas.microsoft.com/office/drawing/2014/main" id="{75146E8B-588F-C6E7-0EF8-2C639C555F69}"/>
            </a:ext>
          </a:extLst>
        </xdr:cNvPr>
        <xdr:cNvSpPr/>
      </xdr:nvSpPr>
      <xdr:spPr>
        <a:xfrm>
          <a:off x="10185797" y="1256110"/>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kern="1200">
              <a:solidFill>
                <a:srgbClr val="ECF0F1"/>
              </a:solidFill>
            </a:rPr>
            <a:t>Average</a:t>
          </a:r>
          <a:r>
            <a:rPr lang="en-IN" sz="1200" b="1" kern="1200" baseline="0">
              <a:solidFill>
                <a:srgbClr val="ECF0F1"/>
              </a:solidFill>
            </a:rPr>
            <a:t> Job Growth Rate</a:t>
          </a:r>
          <a:endParaRPr lang="en-IN" sz="1200" b="1" kern="1200">
            <a:solidFill>
              <a:srgbClr val="ECF0F1"/>
            </a:solidFill>
          </a:endParaRPr>
        </a:p>
      </xdr:txBody>
    </xdr:sp>
    <xdr:clientData/>
  </xdr:twoCellAnchor>
  <xdr:twoCellAnchor>
    <xdr:from>
      <xdr:col>14</xdr:col>
      <xdr:colOff>232171</xdr:colOff>
      <xdr:row>8</xdr:row>
      <xdr:rowOff>119063</xdr:rowOff>
    </xdr:from>
    <xdr:to>
      <xdr:col>16</xdr:col>
      <xdr:colOff>341709</xdr:colOff>
      <xdr:row>10</xdr:row>
      <xdr:rowOff>77390</xdr:rowOff>
    </xdr:to>
    <xdr:sp macro="" textlink="Analyse!D3">
      <xdr:nvSpPr>
        <xdr:cNvPr id="60" name="Rectangle 59">
          <a:extLst>
            <a:ext uri="{FF2B5EF4-FFF2-40B4-BE49-F238E27FC236}">
              <a16:creationId xmlns:a16="http://schemas.microsoft.com/office/drawing/2014/main" id="{16D89D1C-0D76-52EB-7AB2-F8E27AF0CE73}"/>
            </a:ext>
          </a:extLst>
        </xdr:cNvPr>
        <xdr:cNvSpPr/>
      </xdr:nvSpPr>
      <xdr:spPr>
        <a:xfrm>
          <a:off x="10923984" y="1547813"/>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5BCCEA5-3202-4B3E-8B48-177E68D7B9D6}" type="TxLink">
            <a:rPr lang="en-US" sz="1600" b="1" i="0" u="none" strike="noStrike" kern="1200">
              <a:ln>
                <a:noFill/>
              </a:ln>
              <a:solidFill>
                <a:srgbClr val="2C3E50"/>
              </a:solidFill>
              <a:latin typeface="Aptos Narrow"/>
            </a:rPr>
            <a:pPr algn="l"/>
            <a:t>2.33%</a:t>
          </a:fld>
          <a:endParaRPr lang="en-IN" sz="1600" b="1" kern="1200">
            <a:ln>
              <a:noFill/>
            </a:ln>
            <a:solidFill>
              <a:srgbClr val="2C3E50"/>
            </a:solidFill>
          </a:endParaRPr>
        </a:p>
      </xdr:txBody>
    </xdr:sp>
    <xdr:clientData/>
  </xdr:twoCellAnchor>
  <xdr:twoCellAnchor editAs="oneCell">
    <xdr:from>
      <xdr:col>13</xdr:col>
      <xdr:colOff>190499</xdr:colOff>
      <xdr:row>7</xdr:row>
      <xdr:rowOff>65484</xdr:rowOff>
    </xdr:from>
    <xdr:to>
      <xdr:col>14</xdr:col>
      <xdr:colOff>145113</xdr:colOff>
      <xdr:row>10</xdr:row>
      <xdr:rowOff>133206</xdr:rowOff>
    </xdr:to>
    <xdr:pic>
      <xdr:nvPicPr>
        <xdr:cNvPr id="61" name="Picture 60">
          <a:extLst>
            <a:ext uri="{FF2B5EF4-FFF2-40B4-BE49-F238E27FC236}">
              <a16:creationId xmlns:a16="http://schemas.microsoft.com/office/drawing/2014/main" id="{59153C83-ADA1-5D8B-FE98-9BD71B2EFAC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251280" y="1315640"/>
          <a:ext cx="585645" cy="603504"/>
        </a:xfrm>
        <a:prstGeom prst="rect">
          <a:avLst/>
        </a:prstGeom>
      </xdr:spPr>
    </xdr:pic>
    <xdr:clientData/>
  </xdr:twoCellAnchor>
  <xdr:twoCellAnchor>
    <xdr:from>
      <xdr:col>19</xdr:col>
      <xdr:colOff>77391</xdr:colOff>
      <xdr:row>7</xdr:row>
      <xdr:rowOff>0</xdr:rowOff>
    </xdr:from>
    <xdr:to>
      <xdr:col>24</xdr:col>
      <xdr:colOff>177879</xdr:colOff>
      <xdr:row>10</xdr:row>
      <xdr:rowOff>166687</xdr:rowOff>
    </xdr:to>
    <xdr:sp macro="" textlink="">
      <xdr:nvSpPr>
        <xdr:cNvPr id="62" name="Rectangle 61">
          <a:extLst>
            <a:ext uri="{FF2B5EF4-FFF2-40B4-BE49-F238E27FC236}">
              <a16:creationId xmlns:a16="http://schemas.microsoft.com/office/drawing/2014/main" id="{7D933662-555C-2AD4-D094-2C2DC0127781}"/>
            </a:ext>
          </a:extLst>
        </xdr:cNvPr>
        <xdr:cNvSpPr/>
      </xdr:nvSpPr>
      <xdr:spPr>
        <a:xfrm>
          <a:off x="13471922" y="1250156"/>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kern="1200">
              <a:solidFill>
                <a:srgbClr val="ECF0F1"/>
              </a:solidFill>
            </a:rPr>
            <a:t>Average</a:t>
          </a:r>
          <a:r>
            <a:rPr lang="en-IN" sz="1200" b="1" kern="1200" baseline="0">
              <a:solidFill>
                <a:srgbClr val="ECF0F1"/>
              </a:solidFill>
            </a:rPr>
            <a:t> Migration Rate</a:t>
          </a:r>
          <a:endParaRPr lang="en-IN" sz="1200" b="1" kern="1200">
            <a:solidFill>
              <a:srgbClr val="ECF0F1"/>
            </a:solidFill>
          </a:endParaRPr>
        </a:p>
      </xdr:txBody>
    </xdr:sp>
    <xdr:clientData/>
  </xdr:twoCellAnchor>
  <xdr:twoCellAnchor>
    <xdr:from>
      <xdr:col>20</xdr:col>
      <xdr:colOff>238123</xdr:colOff>
      <xdr:row>8</xdr:row>
      <xdr:rowOff>113110</xdr:rowOff>
    </xdr:from>
    <xdr:to>
      <xdr:col>22</xdr:col>
      <xdr:colOff>347661</xdr:colOff>
      <xdr:row>10</xdr:row>
      <xdr:rowOff>71437</xdr:rowOff>
    </xdr:to>
    <xdr:sp macro="" textlink="Analyse!E3">
      <xdr:nvSpPr>
        <xdr:cNvPr id="63" name="Rectangle 62">
          <a:extLst>
            <a:ext uri="{FF2B5EF4-FFF2-40B4-BE49-F238E27FC236}">
              <a16:creationId xmlns:a16="http://schemas.microsoft.com/office/drawing/2014/main" id="{35215D14-06AF-C185-1C1A-791BB23F33F1}"/>
            </a:ext>
          </a:extLst>
        </xdr:cNvPr>
        <xdr:cNvSpPr/>
      </xdr:nvSpPr>
      <xdr:spPr>
        <a:xfrm>
          <a:off x="14263686" y="1541860"/>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2503D8F-2B41-40FD-B331-94023726DD3E}" type="TxLink">
            <a:rPr lang="en-US" sz="1600" b="1" i="0" u="none" strike="noStrike" kern="1200">
              <a:ln>
                <a:noFill/>
              </a:ln>
              <a:solidFill>
                <a:srgbClr val="2C3E50"/>
              </a:solidFill>
              <a:latin typeface="Aptos Narrow"/>
            </a:rPr>
            <a:pPr algn="l"/>
            <a:t>0.45%</a:t>
          </a:fld>
          <a:endParaRPr lang="en-IN" sz="1600" b="1" kern="1200">
            <a:ln>
              <a:noFill/>
            </a:ln>
            <a:solidFill>
              <a:srgbClr val="2C3E50"/>
            </a:solidFill>
          </a:endParaRPr>
        </a:p>
      </xdr:txBody>
    </xdr:sp>
    <xdr:clientData/>
  </xdr:twoCellAnchor>
  <xdr:twoCellAnchor editAs="oneCell">
    <xdr:from>
      <xdr:col>19</xdr:col>
      <xdr:colOff>136921</xdr:colOff>
      <xdr:row>7</xdr:row>
      <xdr:rowOff>53579</xdr:rowOff>
    </xdr:from>
    <xdr:to>
      <xdr:col>20</xdr:col>
      <xdr:colOff>91535</xdr:colOff>
      <xdr:row>10</xdr:row>
      <xdr:rowOff>121301</xdr:rowOff>
    </xdr:to>
    <xdr:pic>
      <xdr:nvPicPr>
        <xdr:cNvPr id="64" name="Picture 63">
          <a:extLst>
            <a:ext uri="{FF2B5EF4-FFF2-40B4-BE49-F238E27FC236}">
              <a16:creationId xmlns:a16="http://schemas.microsoft.com/office/drawing/2014/main" id="{16AA9531-7E50-2937-BDB1-7F0BBC9BD7C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531452" y="1303735"/>
          <a:ext cx="585645" cy="603504"/>
        </a:xfrm>
        <a:prstGeom prst="rect">
          <a:avLst/>
        </a:prstGeom>
      </xdr:spPr>
    </xdr:pic>
    <xdr:clientData/>
  </xdr:twoCellAnchor>
  <xdr:twoCellAnchor>
    <xdr:from>
      <xdr:col>1</xdr:col>
      <xdr:colOff>11906</xdr:colOff>
      <xdr:row>1</xdr:row>
      <xdr:rowOff>11905</xdr:rowOff>
    </xdr:from>
    <xdr:to>
      <xdr:col>24</xdr:col>
      <xdr:colOff>172640</xdr:colOff>
      <xdr:row>6</xdr:row>
      <xdr:rowOff>11904</xdr:rowOff>
    </xdr:to>
    <xdr:sp macro="" textlink="">
      <xdr:nvSpPr>
        <xdr:cNvPr id="67" name="Rectangle 66">
          <a:extLst>
            <a:ext uri="{FF2B5EF4-FFF2-40B4-BE49-F238E27FC236}">
              <a16:creationId xmlns:a16="http://schemas.microsoft.com/office/drawing/2014/main" id="{215376B7-6500-FFBA-63A8-8E12FB345579}"/>
            </a:ext>
          </a:extLst>
        </xdr:cNvPr>
        <xdr:cNvSpPr/>
      </xdr:nvSpPr>
      <xdr:spPr>
        <a:xfrm>
          <a:off x="190500" y="190499"/>
          <a:ext cx="16293703" cy="892968"/>
        </a:xfrm>
        <a:prstGeom prst="rect">
          <a:avLst/>
        </a:prstGeom>
        <a:solidFill>
          <a:srgbClr val="2C3E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kern="1200">
              <a:solidFill>
                <a:srgbClr val="ECF0F1"/>
              </a:solidFill>
            </a:rPr>
            <a:t>The</a:t>
          </a:r>
          <a:r>
            <a:rPr lang="en-IN" sz="3200" b="1" kern="1200" baseline="0">
              <a:solidFill>
                <a:srgbClr val="ECF0F1"/>
              </a:solidFill>
            </a:rPr>
            <a:t> Optimal Places to Work &amp; Live </a:t>
          </a:r>
          <a:br>
            <a:rPr lang="en-IN" sz="1100" kern="1200" baseline="0">
              <a:solidFill>
                <a:srgbClr val="ECF0F1"/>
              </a:solidFill>
            </a:rPr>
          </a:br>
          <a:r>
            <a:rPr lang="en-IN" sz="1600" b="1" kern="1200" baseline="0">
              <a:solidFill>
                <a:srgbClr val="ECF0F1"/>
              </a:solidFill>
            </a:rPr>
            <a:t>United States of America (Top 15 States)</a:t>
          </a:r>
          <a:endParaRPr lang="en-IN" sz="1600" b="1" kern="1200">
            <a:solidFill>
              <a:srgbClr val="ECF0F1"/>
            </a:solidFill>
          </a:endParaRPr>
        </a:p>
      </xdr:txBody>
    </xdr:sp>
    <xdr:clientData/>
  </xdr:twoCellAnchor>
  <xdr:twoCellAnchor>
    <xdr:from>
      <xdr:col>9</xdr:col>
      <xdr:colOff>238125</xdr:colOff>
      <xdr:row>29</xdr:row>
      <xdr:rowOff>5953</xdr:rowOff>
    </xdr:from>
    <xdr:to>
      <xdr:col>15</xdr:col>
      <xdr:colOff>595313</xdr:colOff>
      <xdr:row>45</xdr:row>
      <xdr:rowOff>11908</xdr:rowOff>
    </xdr:to>
    <xdr:graphicFrame macro="">
      <xdr:nvGraphicFramePr>
        <xdr:cNvPr id="72" name="Chart 71">
          <a:extLst>
            <a:ext uri="{FF2B5EF4-FFF2-40B4-BE49-F238E27FC236}">
              <a16:creationId xmlns:a16="http://schemas.microsoft.com/office/drawing/2014/main" id="{C7DE3956-BF67-4F20-9EB1-7C3F8E1DEB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148826</xdr:colOff>
      <xdr:row>28</xdr:row>
      <xdr:rowOff>172639</xdr:rowOff>
    </xdr:from>
    <xdr:to>
      <xdr:col>25</xdr:col>
      <xdr:colOff>1665</xdr:colOff>
      <xdr:row>44</xdr:row>
      <xdr:rowOff>172639</xdr:rowOff>
    </xdr:to>
    <xdr:graphicFrame macro="">
      <xdr:nvGraphicFramePr>
        <xdr:cNvPr id="73" name="Chart 72">
          <a:extLst>
            <a:ext uri="{FF2B5EF4-FFF2-40B4-BE49-F238E27FC236}">
              <a16:creationId xmlns:a16="http://schemas.microsoft.com/office/drawing/2014/main" id="{5A767588-15E1-4285-8782-6B4D4755B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70941</xdr:colOff>
      <xdr:row>1</xdr:row>
      <xdr:rowOff>65485</xdr:rowOff>
    </xdr:from>
    <xdr:to>
      <xdr:col>2</xdr:col>
      <xdr:colOff>246521</xdr:colOff>
      <xdr:row>5</xdr:row>
      <xdr:rowOff>142875</xdr:rowOff>
    </xdr:to>
    <xdr:pic macro="[0]!Information">
      <xdr:nvPicPr>
        <xdr:cNvPr id="3" name="Picture 2">
          <a:extLst>
            <a:ext uri="{FF2B5EF4-FFF2-40B4-BE49-F238E27FC236}">
              <a16:creationId xmlns:a16="http://schemas.microsoft.com/office/drawing/2014/main" id="{759E368C-FC07-ACE5-4EB3-8E20E6D8271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49535" y="244079"/>
          <a:ext cx="806611" cy="791765"/>
        </a:xfrm>
        <a:prstGeom prst="rect">
          <a:avLst/>
        </a:prstGeom>
      </xdr:spPr>
    </xdr:pic>
    <xdr:clientData/>
  </xdr:twoCellAnchor>
  <xdr:twoCellAnchor editAs="oneCell">
    <xdr:from>
      <xdr:col>8</xdr:col>
      <xdr:colOff>336947</xdr:colOff>
      <xdr:row>37</xdr:row>
      <xdr:rowOff>83346</xdr:rowOff>
    </xdr:from>
    <xdr:to>
      <xdr:col>8</xdr:col>
      <xdr:colOff>1159907</xdr:colOff>
      <xdr:row>42</xdr:row>
      <xdr:rowOff>13337</xdr:rowOff>
    </xdr:to>
    <xdr:pic>
      <xdr:nvPicPr>
        <xdr:cNvPr id="44" name="Picture 43">
          <a:extLst>
            <a:ext uri="{FF2B5EF4-FFF2-40B4-BE49-F238E27FC236}">
              <a16:creationId xmlns:a16="http://schemas.microsoft.com/office/drawing/2014/main" id="{84F8780D-B4CF-6F1D-0EF2-E4794C3AD86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242447" y="6691315"/>
          <a:ext cx="822960" cy="822960"/>
        </a:xfrm>
        <a:prstGeom prst="rect">
          <a:avLst/>
        </a:prstGeom>
      </xdr:spPr>
    </xdr:pic>
    <xdr:clientData/>
  </xdr:twoCellAnchor>
  <xdr:twoCellAnchor editAs="oneCell">
    <xdr:from>
      <xdr:col>7</xdr:col>
      <xdr:colOff>78563</xdr:colOff>
      <xdr:row>37</xdr:row>
      <xdr:rowOff>78562</xdr:rowOff>
    </xdr:from>
    <xdr:to>
      <xdr:col>7</xdr:col>
      <xdr:colOff>901523</xdr:colOff>
      <xdr:row>42</xdr:row>
      <xdr:rowOff>8553</xdr:rowOff>
    </xdr:to>
    <xdr:pic>
      <xdr:nvPicPr>
        <xdr:cNvPr id="46" name="Picture 45">
          <a:extLst>
            <a:ext uri="{FF2B5EF4-FFF2-40B4-BE49-F238E27FC236}">
              <a16:creationId xmlns:a16="http://schemas.microsoft.com/office/drawing/2014/main" id="{753F6DA7-93C4-BE7D-6980-50DF893BBAE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07751" y="6686531"/>
          <a:ext cx="822960" cy="822960"/>
        </a:xfrm>
        <a:prstGeom prst="rect">
          <a:avLst/>
        </a:prstGeom>
      </xdr:spPr>
    </xdr:pic>
    <xdr:clientData/>
  </xdr:twoCellAnchor>
  <xdr:twoCellAnchor editAs="oneCell">
    <xdr:from>
      <xdr:col>6</xdr:col>
      <xdr:colOff>139266</xdr:colOff>
      <xdr:row>37</xdr:row>
      <xdr:rowOff>85687</xdr:rowOff>
    </xdr:from>
    <xdr:to>
      <xdr:col>6</xdr:col>
      <xdr:colOff>962226</xdr:colOff>
      <xdr:row>42</xdr:row>
      <xdr:rowOff>15678</xdr:rowOff>
    </xdr:to>
    <xdr:pic>
      <xdr:nvPicPr>
        <xdr:cNvPr id="48" name="Picture 47">
          <a:extLst>
            <a:ext uri="{FF2B5EF4-FFF2-40B4-BE49-F238E27FC236}">
              <a16:creationId xmlns:a16="http://schemas.microsoft.com/office/drawing/2014/main" id="{B221E61B-2FFE-8172-7F7F-A8C977B3E79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996891" y="6693656"/>
          <a:ext cx="822960" cy="822960"/>
        </a:xfrm>
        <a:prstGeom prst="rect">
          <a:avLst/>
        </a:prstGeom>
      </xdr:spPr>
    </xdr:pic>
    <xdr:clientData/>
  </xdr:twoCellAnchor>
  <xdr:twoCellAnchor editAs="oneCell">
    <xdr:from>
      <xdr:col>5</xdr:col>
      <xdr:colOff>223780</xdr:colOff>
      <xdr:row>37</xdr:row>
      <xdr:rowOff>80905</xdr:rowOff>
    </xdr:from>
    <xdr:to>
      <xdr:col>5</xdr:col>
      <xdr:colOff>1046740</xdr:colOff>
      <xdr:row>42</xdr:row>
      <xdr:rowOff>10896</xdr:rowOff>
    </xdr:to>
    <xdr:pic>
      <xdr:nvPicPr>
        <xdr:cNvPr id="65" name="Picture 64">
          <a:extLst>
            <a:ext uri="{FF2B5EF4-FFF2-40B4-BE49-F238E27FC236}">
              <a16:creationId xmlns:a16="http://schemas.microsoft.com/office/drawing/2014/main" id="{31FCA8D7-A450-2FDB-77CC-9F1985D4761E}"/>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789578" y="6688874"/>
          <a:ext cx="822960" cy="822960"/>
        </a:xfrm>
        <a:prstGeom prst="rect">
          <a:avLst/>
        </a:prstGeom>
      </xdr:spPr>
    </xdr:pic>
    <xdr:clientData/>
  </xdr:twoCellAnchor>
  <xdr:twoCellAnchor editAs="oneCell">
    <xdr:from>
      <xdr:col>4</xdr:col>
      <xdr:colOff>70173</xdr:colOff>
      <xdr:row>37</xdr:row>
      <xdr:rowOff>70171</xdr:rowOff>
    </xdr:from>
    <xdr:to>
      <xdr:col>4</xdr:col>
      <xdr:colOff>883608</xdr:colOff>
      <xdr:row>42</xdr:row>
      <xdr:rowOff>162</xdr:rowOff>
    </xdr:to>
    <xdr:pic>
      <xdr:nvPicPr>
        <xdr:cNvPr id="68" name="Picture 67">
          <a:extLst>
            <a:ext uri="{FF2B5EF4-FFF2-40B4-BE49-F238E27FC236}">
              <a16:creationId xmlns:a16="http://schemas.microsoft.com/office/drawing/2014/main" id="{EA634B28-331F-D4A9-166A-361E40353F2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689423" y="6678140"/>
          <a:ext cx="822960" cy="822960"/>
        </a:xfrm>
        <a:prstGeom prst="rect">
          <a:avLst/>
        </a:prstGeom>
      </xdr:spPr>
    </xdr:pic>
    <xdr:clientData/>
  </xdr:twoCellAnchor>
  <xdr:twoCellAnchor>
    <xdr:from>
      <xdr:col>11</xdr:col>
      <xdr:colOff>23811</xdr:colOff>
      <xdr:row>11</xdr:row>
      <xdr:rowOff>173182</xdr:rowOff>
    </xdr:from>
    <xdr:to>
      <xdr:col>25</xdr:col>
      <xdr:colOff>1</xdr:colOff>
      <xdr:row>28</xdr:row>
      <xdr:rowOff>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D7F9313B-78E1-45FB-BF61-8590F2CF004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0714902" y="2332182"/>
              <a:ext cx="8150372" cy="316345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184950</xdr:colOff>
      <xdr:row>30</xdr:row>
      <xdr:rowOff>166689</xdr:rowOff>
    </xdr:from>
    <xdr:to>
      <xdr:col>3</xdr:col>
      <xdr:colOff>820</xdr:colOff>
      <xdr:row>33</xdr:row>
      <xdr:rowOff>107157</xdr:rowOff>
    </xdr:to>
    <xdr:pic macro="[0]!Reset">
      <xdr:nvPicPr>
        <xdr:cNvPr id="5" name="Picture 4">
          <a:extLst>
            <a:ext uri="{FF2B5EF4-FFF2-40B4-BE49-F238E27FC236}">
              <a16:creationId xmlns:a16="http://schemas.microsoft.com/office/drawing/2014/main" id="{732FD94B-C757-1ABC-31F2-2651D9D2AE06}"/>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4950" y="5702903"/>
          <a:ext cx="1356311" cy="4953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200025</xdr:colOff>
      <xdr:row>1</xdr:row>
      <xdr:rowOff>204787</xdr:rowOff>
    </xdr:from>
    <xdr:to>
      <xdr:col>1</xdr:col>
      <xdr:colOff>1165225</xdr:colOff>
      <xdr:row>5</xdr:row>
      <xdr:rowOff>65087</xdr:rowOff>
    </xdr:to>
    <xdr:pic macro="[0]!Home">
      <xdr:nvPicPr>
        <xdr:cNvPr id="5" name="Picture 4">
          <a:extLst>
            <a:ext uri="{FF2B5EF4-FFF2-40B4-BE49-F238E27FC236}">
              <a16:creationId xmlns:a16="http://schemas.microsoft.com/office/drawing/2014/main" id="{472B0189-0A12-5F1E-63C1-4592DD057F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5" y="471487"/>
          <a:ext cx="965200" cy="9271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hith Reddy Kolanu" refreshedDate="45999.501362268522" createdVersion="8" refreshedVersion="8" minRefreshableVersion="3" recordCount="15" xr:uid="{9EE838E9-39A3-487C-A205-D86F5B2F0E21}">
  <cacheSource type="worksheet">
    <worksheetSource name="Table1"/>
  </cacheSource>
  <cacheFields count="16">
    <cacheField name="Rankings" numFmtId="1">
      <sharedItems containsSemiMixedTypes="0" containsString="0" containsNumber="1" containsInteger="1" minValue="1" maxValue="15"/>
    </cacheField>
    <cacheField name="State" numFmtId="0">
      <sharedItems count="15">
        <s v="Utah"/>
        <s v="New Hampshire"/>
        <s v="Nebraska"/>
        <s v="Minnesota"/>
        <s v="Idaho"/>
        <s v="Iowa"/>
        <s v="Vermont"/>
        <s v="Washington"/>
        <s v="Florida"/>
        <s v="Massachusetts"/>
        <s v="South Dakota"/>
        <s v="Wyoming"/>
        <s v="Virginia"/>
        <s v="New Jersey"/>
        <s v="North Dakota"/>
      </sharedItems>
    </cacheField>
    <cacheField name="Capital City" numFmtId="0">
      <sharedItems/>
    </cacheField>
    <cacheField name="Area (in SQ. MI.)" numFmtId="1">
      <sharedItems containsSemiMixedTypes="0" containsString="0" containsNumber="1" containsInteger="1" minValue="8719" maxValue="97810"/>
    </cacheField>
    <cacheField name="GDP (in Billions)" numFmtId="167">
      <sharedItems containsSemiMixedTypes="0" containsString="0" containsNumber="1" containsInteger="1" minValue="43" maxValue="1580"/>
    </cacheField>
    <cacheField name="Population" numFmtId="1">
      <sharedItems containsSemiMixedTypes="0" containsString="0" containsNumber="1" containsInteger="1" minValue="584057" maxValue="22610726"/>
    </cacheField>
    <cacheField name="Median Income" numFmtId="164">
      <sharedItems containsSemiMixedTypes="0" containsString="0" containsNumber="1" containsInteger="1" minValue="37395" maxValue="52528"/>
    </cacheField>
    <cacheField name="Job Growth Rate" numFmtId="10">
      <sharedItems containsSemiMixedTypes="0" containsString="0" containsNumber="1" minValue="0.01" maxValue="4.8000000000000001E-2"/>
    </cacheField>
    <cacheField name="Net Migration Rate" numFmtId="10">
      <sharedItems containsSemiMixedTypes="0" containsString="0" containsNumber="1" minValue="-1E-3" maxValue="1.7999999999999999E-2"/>
    </cacheField>
    <cacheField name="Obesity Rate" numFmtId="165">
      <sharedItems containsSemiMixedTypes="0" containsString="0" containsNumber="1" minValue="0.26400000000000001" maxValue="0.373"/>
    </cacheField>
    <cacheField name="Poverty Rate" numFmtId="165">
      <sharedItems containsSemiMixedTypes="0" containsString="0" containsNumber="1" minValue="7.1999999999999995E-2" maxValue="0.127"/>
    </cacheField>
    <cacheField name="Graduation Rate" numFmtId="10">
      <sharedItems containsSemiMixedTypes="0" containsString="0" containsNumber="1" minValue="0.41599999999999998" maxValue="0.54"/>
    </cacheField>
    <cacheField name="Air Quality Index" numFmtId="166">
      <sharedItems containsSemiMixedTypes="0" containsString="0" containsNumber="1" minValue="33.5" maxValue="51.2"/>
    </cacheField>
    <cacheField name="Average Cost of Living Index" numFmtId="166">
      <sharedItems containsSemiMixedTypes="0" containsString="0" containsNumber="1" minValue="89.06" maxValue="126.13"/>
    </cacheField>
    <cacheField name="Average Internet Speed (in MBPS)" numFmtId="166">
      <sharedItems containsSemiMixedTypes="0" containsString="0" containsNumber="1" minValue="191.7" maxValue="505.6"/>
    </cacheField>
    <cacheField name="Crime Rate" numFmtId="10">
      <sharedItems containsSemiMixedTypes="0" containsString="0" containsNumber="1" minValue="2.3439999999999999E-2" maxValue="5.7590000000000002E-2"/>
    </cacheField>
  </cacheFields>
  <extLst>
    <ext xmlns:x14="http://schemas.microsoft.com/office/spreadsheetml/2009/9/main" uri="{725AE2AE-9491-48be-B2B4-4EB974FC3084}">
      <x14:pivotCacheDefinition pivotCacheId="4626128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x v="0"/>
    <s v="Salt Lake City"/>
    <n v="84898"/>
    <n v="273"/>
    <n v="3417734"/>
    <n v="40959"/>
    <n v="3.6999999999999998E-2"/>
    <n v="6.0000000000000001E-3"/>
    <n v="0.313"/>
    <n v="8.2000000000000003E-2"/>
    <n v="0.47899999999999998"/>
    <n v="51.2"/>
    <n v="102.9"/>
    <n v="314.10000000000002"/>
    <n v="5.1900000000000002E-2"/>
  </r>
  <r>
    <n v="2"/>
    <x v="1"/>
    <s v="Concord"/>
    <n v="9350"/>
    <n v="111"/>
    <n v="1402054"/>
    <n v="49617"/>
    <n v="1.4999999999999999E-2"/>
    <n v="7.0000000000000001E-3"/>
    <n v="0.29799999999999999"/>
    <n v="7.1999999999999995E-2"/>
    <n v="0.50600000000000001"/>
    <n v="38.9"/>
    <n v="110.46"/>
    <n v="317.89999999999998"/>
    <n v="2.3439999999999999E-2"/>
  </r>
  <r>
    <n v="3"/>
    <x v="2"/>
    <s v="Lincoln"/>
    <n v="77347"/>
    <n v="178"/>
    <n v="1978379"/>
    <n v="41403"/>
    <n v="0.01"/>
    <n v="0"/>
    <n v="0.35099999999999998"/>
    <n v="0.112"/>
    <n v="0.46200000000000002"/>
    <n v="37"/>
    <n v="95.21"/>
    <n v="270"/>
    <n v="4.1520000000000001E-2"/>
  </r>
  <r>
    <n v="4"/>
    <x v="3"/>
    <s v="St. Paul"/>
    <n v="86943"/>
    <n v="472"/>
    <n v="5737915"/>
    <n v="47393"/>
    <n v="0.01"/>
    <n v="-1E-3"/>
    <n v="0.33900000000000002"/>
    <n v="9.6000000000000002E-2"/>
    <n v="0.51"/>
    <n v="38.299999999999997"/>
    <n v="93.48"/>
    <n v="304.2"/>
    <n v="4.5269999999999998E-2"/>
  </r>
  <r>
    <n v="5"/>
    <x v="4"/>
    <s v="Boise"/>
    <n v="83569"/>
    <n v="119"/>
    <n v="1964726"/>
    <n v="37395"/>
    <n v="3.1E-2"/>
    <n v="1.7999999999999999E-2"/>
    <n v="0.33200000000000002"/>
    <n v="0.107"/>
    <n v="0.42099999999999999"/>
    <n v="44.3"/>
    <n v="97.38"/>
    <n v="230.1"/>
    <n v="2.4660000000000001E-2"/>
  </r>
  <r>
    <n v="6"/>
    <x v="5"/>
    <s v="Des Moines"/>
    <n v="56273"/>
    <n v="249"/>
    <n v="3207004"/>
    <n v="41625"/>
    <n v="1.6E-2"/>
    <n v="1E-3"/>
    <n v="0.373"/>
    <n v="0.126"/>
    <n v="0.443"/>
    <n v="37.6"/>
    <n v="89.06"/>
    <n v="193.9"/>
    <n v="2.4660000000000001E-2"/>
  </r>
  <r>
    <n v="7"/>
    <x v="6"/>
    <s v="Montpelier"/>
    <n v="9615"/>
    <n v="43"/>
    <n v="647464"/>
    <n v="42147"/>
    <n v="2.3E-2"/>
    <n v="5.0000000000000001E-3"/>
    <n v="0.26400000000000001"/>
    <n v="0.104"/>
    <n v="0.53"/>
    <n v="38.5"/>
    <n v="112.39"/>
    <n v="408.2"/>
    <n v="2.6069999999999999E-2"/>
  </r>
  <r>
    <n v="8"/>
    <x v="7"/>
    <s v="Olympia"/>
    <n v="71301"/>
    <n v="802"/>
    <n v="7812880"/>
    <n v="51640"/>
    <n v="2.7E-2"/>
    <n v="2E-3"/>
    <n v="0.317"/>
    <n v="0.1"/>
    <n v="0.495"/>
    <n v="33.5"/>
    <n v="118.07"/>
    <n v="451"/>
    <n v="5.7590000000000002E-2"/>
  </r>
  <r>
    <n v="9"/>
    <x v="8"/>
    <s v="Tallahassee"/>
    <n v="71404"/>
    <n v="1580"/>
    <n v="22610726"/>
    <n v="39920"/>
    <n v="4.8000000000000001E-2"/>
    <n v="1.7000000000000001E-2"/>
    <n v="0.315"/>
    <n v="0.127"/>
    <n v="0.44500000000000001"/>
    <n v="38.9"/>
    <n v="109.35"/>
    <n v="322.3"/>
    <n v="3.9219999999999998E-2"/>
  </r>
  <r>
    <n v="10"/>
    <x v="9"/>
    <s v="Boston"/>
    <n v="10554"/>
    <n v="734"/>
    <n v="7001399"/>
    <n v="52528"/>
    <n v="2.1999999999999999E-2"/>
    <n v="-1E-3"/>
    <n v="0.26800000000000002"/>
    <n v="0.104"/>
    <n v="0.54"/>
    <n v="41.4"/>
    <n v="126.13"/>
    <n v="401.2"/>
    <n v="2.4150000000000001E-2"/>
  </r>
  <r>
    <n v="11"/>
    <x v="10"/>
    <s v="Pierre"/>
    <n v="77116"/>
    <n v="72"/>
    <n v="919318"/>
    <n v="40978"/>
    <n v="1.9E-2"/>
    <n v="8.9999999999999993E-3"/>
    <n v="0.37"/>
    <n v="0.125"/>
    <n v="0.44800000000000001"/>
    <n v="39.6"/>
    <n v="93.14"/>
    <n v="191.7"/>
    <n v="4.4150000000000002E-2"/>
  </r>
  <r>
    <n v="12"/>
    <x v="11"/>
    <s v="Cheyenne"/>
    <n v="97810"/>
    <n v="50"/>
    <n v="584057"/>
    <n v="39954"/>
    <n v="1.2E-2"/>
    <n v="4.0000000000000001E-3"/>
    <n v="0.34399999999999997"/>
    <n v="0.11799999999999999"/>
    <n v="0.41599999999999998"/>
    <n v="45"/>
    <n v="92.44"/>
    <n v="203.2"/>
    <n v="3.4549999999999997E-2"/>
  </r>
  <r>
    <n v="13"/>
    <x v="12"/>
    <s v="Richmond"/>
    <n v="42775"/>
    <n v="707"/>
    <n v="8715698"/>
    <n v="48178"/>
    <n v="0.03"/>
    <n v="2E-3"/>
    <n v="0.34799999999999998"/>
    <n v="0.106"/>
    <n v="0.498"/>
    <n v="45"/>
    <n v="102.85"/>
    <n v="505.6"/>
    <n v="3.1210000000000002E-2"/>
  </r>
  <r>
    <n v="14"/>
    <x v="13"/>
    <s v="Trenton"/>
    <n v="8719"/>
    <n v="799"/>
    <n v="9290841"/>
    <n v="51884"/>
    <n v="3.2000000000000001E-2"/>
    <n v="-1E-3"/>
    <n v="0.28799999999999998"/>
    <n v="9.7000000000000003E-2"/>
    <n v="0.502"/>
    <n v="44.1"/>
    <n v="111.04"/>
    <n v="427.8"/>
    <n v="2.512E-2"/>
  </r>
  <r>
    <n v="15"/>
    <x v="14"/>
    <s v="Bismarck"/>
    <n v="70699"/>
    <n v="74"/>
    <n v="783926"/>
    <n v="42807"/>
    <n v="1.7000000000000001E-2"/>
    <n v="-1E-3"/>
    <n v="0.35599999999999998"/>
    <n v="0.115"/>
    <n v="0.46"/>
    <n v="37"/>
    <n v="92.49"/>
    <n v="244.3"/>
    <n v="4.5769999999999998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7B0F58-12B8-45D0-96B0-8F144775E8F7}" name="PivotTable10"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6" rowHeaderCaption="State">
  <location ref="E13:J28" firstHeaderRow="0" firstDataRow="1" firstDataCol="1"/>
  <pivotFields count="16">
    <pivotField compact="0" numFmtId="1" outline="0" showAll="0"/>
    <pivotField axis="axisRow" compact="0" outline="0" showAll="0">
      <items count="16">
        <item x="8"/>
        <item x="4"/>
        <item x="5"/>
        <item x="9"/>
        <item x="3"/>
        <item x="2"/>
        <item x="1"/>
        <item x="13"/>
        <item x="14"/>
        <item x="10"/>
        <item x="0"/>
        <item x="6"/>
        <item x="12"/>
        <item x="7"/>
        <item x="11"/>
        <item t="default"/>
      </items>
    </pivotField>
    <pivotField compact="0" outline="0" showAll="0"/>
    <pivotField compact="0" outline="0" showAll="0"/>
    <pivotField dataField="1" compact="0" numFmtId="167" outline="0" showAll="0"/>
    <pivotField dataField="1" compact="0" numFmtId="1" outline="0" showAll="0"/>
    <pivotField dataField="1" compact="0" numFmtId="164" outline="0" showAll="0"/>
    <pivotField dataField="1" compact="0" numFmtId="10" outline="0" showAll="0"/>
    <pivotField dataField="1" compact="0" numFmtId="10" outline="0" showAll="0"/>
    <pivotField compact="0" numFmtId="165" outline="0" showAll="0"/>
    <pivotField compact="0" numFmtId="165" outline="0" showAll="0"/>
    <pivotField compact="0" numFmtId="10" outline="0" showAll="0"/>
    <pivotField compact="0" outline="0" showAll="0"/>
    <pivotField compact="0" numFmtId="166" outline="0" showAll="0"/>
    <pivotField compact="0" numFmtId="166" outline="0" showAll="0"/>
    <pivotField compact="0" numFmtId="10" outline="0" showAll="0"/>
  </pivotFields>
  <rowFields count="1">
    <field x="1"/>
  </rowFields>
  <rowItems count="15">
    <i>
      <x/>
    </i>
    <i>
      <x v="1"/>
    </i>
    <i>
      <x v="2"/>
    </i>
    <i>
      <x v="3"/>
    </i>
    <i>
      <x v="4"/>
    </i>
    <i>
      <x v="5"/>
    </i>
    <i>
      <x v="6"/>
    </i>
    <i>
      <x v="7"/>
    </i>
    <i>
      <x v="8"/>
    </i>
    <i>
      <x v="9"/>
    </i>
    <i>
      <x v="10"/>
    </i>
    <i>
      <x v="11"/>
    </i>
    <i>
      <x v="12"/>
    </i>
    <i>
      <x v="13"/>
    </i>
    <i>
      <x v="14"/>
    </i>
  </rowItems>
  <colFields count="1">
    <field x="-2"/>
  </colFields>
  <colItems count="5">
    <i>
      <x/>
    </i>
    <i i="1">
      <x v="1"/>
    </i>
    <i i="2">
      <x v="2"/>
    </i>
    <i i="3">
      <x v="3"/>
    </i>
    <i i="4">
      <x v="4"/>
    </i>
  </colItems>
  <dataFields count="5">
    <dataField name="Total GDP (in Billions)" fld="4" baseField="1" baseItem="0" numFmtId="167"/>
    <dataField name="Total Population" fld="5" baseField="1" baseItem="0" numFmtId="4"/>
    <dataField name="Average Income" fld="6" subtotal="average" baseField="1" baseItem="0" numFmtId="164"/>
    <dataField name="Average Job Growth Rate" fld="7" subtotal="average" baseField="1" baseItem="0" numFmtId="10"/>
    <dataField name="Average Migration Rate" fld="8" subtotal="average" baseField="1" baseItem="0" numFmtId="10"/>
  </dataFields>
  <formats count="46">
    <format dxfId="233">
      <pivotArea type="all" dataOnly="0" outline="0" fieldPosition="0"/>
    </format>
    <format dxfId="232">
      <pivotArea outline="0" collapsedLevelsAreSubtotals="1" fieldPosition="0"/>
    </format>
    <format dxfId="231">
      <pivotArea type="all" dataOnly="0" outline="0" fieldPosition="0"/>
    </format>
    <format dxfId="230">
      <pivotArea outline="0" collapsedLevelsAreSubtotals="1" fieldPosition="0"/>
    </format>
    <format dxfId="229">
      <pivotArea field="1" type="button" dataOnly="0" labelOnly="1" outline="0" axis="axisRow" fieldPosition="0"/>
    </format>
    <format dxfId="228">
      <pivotArea dataOnly="0" labelOnly="1" fieldPosition="0">
        <references count="1">
          <reference field="1" count="0"/>
        </references>
      </pivotArea>
    </format>
    <format dxfId="227">
      <pivotArea dataOnly="0" labelOnly="1" outline="0" fieldPosition="0">
        <references count="1">
          <reference field="4294967294" count="5">
            <x v="0"/>
            <x v="1"/>
            <x v="2"/>
            <x v="3"/>
            <x v="4"/>
          </reference>
        </references>
      </pivotArea>
    </format>
    <format dxfId="226">
      <pivotArea field="1" type="button" dataOnly="0" labelOnly="1" outline="0" axis="axisRow" fieldPosition="0"/>
    </format>
    <format dxfId="225">
      <pivotArea dataOnly="0" labelOnly="1" outline="0" fieldPosition="0">
        <references count="1">
          <reference field="4294967294" count="5">
            <x v="0"/>
            <x v="1"/>
            <x v="2"/>
            <x v="3"/>
            <x v="4"/>
          </reference>
        </references>
      </pivotArea>
    </format>
    <format dxfId="224">
      <pivotArea dataOnly="0" labelOnly="1" fieldPosition="0">
        <references count="1">
          <reference field="1" count="0"/>
        </references>
      </pivotArea>
    </format>
    <format dxfId="223">
      <pivotArea field="1" type="button" dataOnly="0" labelOnly="1" outline="0" axis="axisRow" fieldPosition="0"/>
    </format>
    <format dxfId="222">
      <pivotArea dataOnly="0" labelOnly="1" outline="0" fieldPosition="0">
        <references count="1">
          <reference field="4294967294" count="5">
            <x v="0"/>
            <x v="1"/>
            <x v="2"/>
            <x v="3"/>
            <x v="4"/>
          </reference>
        </references>
      </pivotArea>
    </format>
    <format dxfId="221">
      <pivotArea field="1" type="button" dataOnly="0" labelOnly="1" outline="0" axis="axisRow" fieldPosition="0"/>
    </format>
    <format dxfId="220">
      <pivotArea dataOnly="0" labelOnly="1" outline="0" fieldPosition="0">
        <references count="1">
          <reference field="4294967294" count="5">
            <x v="0"/>
            <x v="1"/>
            <x v="2"/>
            <x v="3"/>
            <x v="4"/>
          </reference>
        </references>
      </pivotArea>
    </format>
    <format dxfId="219">
      <pivotArea outline="0" fieldPosition="0">
        <references count="1">
          <reference field="4294967294" count="1" selected="0">
            <x v="1"/>
          </reference>
        </references>
      </pivotArea>
    </format>
    <format dxfId="218">
      <pivotArea type="all" dataOnly="0" outline="0" fieldPosition="0"/>
    </format>
    <format dxfId="217">
      <pivotArea outline="0" collapsedLevelsAreSubtotals="1" fieldPosition="0"/>
    </format>
    <format dxfId="216">
      <pivotArea field="1" type="button" dataOnly="0" labelOnly="1" outline="0" axis="axisRow" fieldPosition="0"/>
    </format>
    <format dxfId="215">
      <pivotArea dataOnly="0" labelOnly="1" outline="0" fieldPosition="0">
        <references count="1">
          <reference field="1" count="0"/>
        </references>
      </pivotArea>
    </format>
    <format dxfId="214">
      <pivotArea dataOnly="0" labelOnly="1" outline="0" fieldPosition="0">
        <references count="1">
          <reference field="4294967294" count="5">
            <x v="0"/>
            <x v="1"/>
            <x v="2"/>
            <x v="3"/>
            <x v="4"/>
          </reference>
        </references>
      </pivotArea>
    </format>
    <format dxfId="213">
      <pivotArea field="1" type="button" dataOnly="0" labelOnly="1" outline="0" axis="axisRow" fieldPosition="0"/>
    </format>
    <format dxfId="212">
      <pivotArea dataOnly="0" labelOnly="1" outline="0" fieldPosition="0">
        <references count="1">
          <reference field="4294967294" count="5">
            <x v="0"/>
            <x v="1"/>
            <x v="2"/>
            <x v="3"/>
            <x v="4"/>
          </reference>
        </references>
      </pivotArea>
    </format>
    <format dxfId="211">
      <pivotArea outline="0" collapsedLevelsAreSubtotals="1" fieldPosition="0"/>
    </format>
    <format dxfId="210">
      <pivotArea dataOnly="0" labelOnly="1" outline="0" fieldPosition="0">
        <references count="1">
          <reference field="1" count="0"/>
        </references>
      </pivotArea>
    </format>
    <format dxfId="209">
      <pivotArea dataOnly="0" labelOnly="1" outline="0" fieldPosition="0">
        <references count="1">
          <reference field="1" count="0"/>
        </references>
      </pivotArea>
    </format>
    <format dxfId="208">
      <pivotArea outline="0" collapsedLevelsAreSubtotals="1" fieldPosition="0"/>
    </format>
    <format dxfId="207">
      <pivotArea type="all" dataOnly="0" outline="0" fieldPosition="0"/>
    </format>
    <format dxfId="206">
      <pivotArea outline="0" collapsedLevelsAreSubtotals="1" fieldPosition="0"/>
    </format>
    <format dxfId="205">
      <pivotArea field="1" type="button" dataOnly="0" labelOnly="1" outline="0" axis="axisRow" fieldPosition="0"/>
    </format>
    <format dxfId="204">
      <pivotArea dataOnly="0" labelOnly="1" outline="0" fieldPosition="0">
        <references count="1">
          <reference field="1" count="0"/>
        </references>
      </pivotArea>
    </format>
    <format dxfId="203">
      <pivotArea dataOnly="0" labelOnly="1" outline="0" fieldPosition="0">
        <references count="1">
          <reference field="4294967294" count="5">
            <x v="0"/>
            <x v="1"/>
            <x v="2"/>
            <x v="3"/>
            <x v="4"/>
          </reference>
        </references>
      </pivotArea>
    </format>
    <format dxfId="202">
      <pivotArea type="all" dataOnly="0" outline="0" fieldPosition="0"/>
    </format>
    <format dxfId="201">
      <pivotArea outline="0" collapsedLevelsAreSubtotals="1" fieldPosition="0"/>
    </format>
    <format dxfId="200">
      <pivotArea field="1" type="button" dataOnly="0" labelOnly="1" outline="0" axis="axisRow" fieldPosition="0"/>
    </format>
    <format dxfId="199">
      <pivotArea dataOnly="0" labelOnly="1" outline="0" fieldPosition="0">
        <references count="1">
          <reference field="1" count="0"/>
        </references>
      </pivotArea>
    </format>
    <format dxfId="198">
      <pivotArea dataOnly="0" labelOnly="1" outline="0" fieldPosition="0">
        <references count="1">
          <reference field="4294967294" count="5">
            <x v="0"/>
            <x v="1"/>
            <x v="2"/>
            <x v="3"/>
            <x v="4"/>
          </reference>
        </references>
      </pivotArea>
    </format>
    <format dxfId="197">
      <pivotArea type="all" dataOnly="0" outline="0" fieldPosition="0"/>
    </format>
    <format dxfId="196">
      <pivotArea outline="0" collapsedLevelsAreSubtotals="1" fieldPosition="0"/>
    </format>
    <format dxfId="195">
      <pivotArea field="1" type="button" dataOnly="0" labelOnly="1" outline="0" axis="axisRow" fieldPosition="0"/>
    </format>
    <format dxfId="194">
      <pivotArea dataOnly="0" labelOnly="1" outline="0" fieldPosition="0">
        <references count="1">
          <reference field="1" count="0"/>
        </references>
      </pivotArea>
    </format>
    <format dxfId="193">
      <pivotArea dataOnly="0" labelOnly="1" outline="0" fieldPosition="0">
        <references count="1">
          <reference field="4294967294" count="5">
            <x v="0"/>
            <x v="1"/>
            <x v="2"/>
            <x v="3"/>
            <x v="4"/>
          </reference>
        </references>
      </pivotArea>
    </format>
    <format dxfId="192">
      <pivotArea type="all" dataOnly="0" outline="0" fieldPosition="0"/>
    </format>
    <format dxfId="191">
      <pivotArea outline="0" collapsedLevelsAreSubtotals="1" fieldPosition="0"/>
    </format>
    <format dxfId="190">
      <pivotArea field="1" type="button" dataOnly="0" labelOnly="1" outline="0" axis="axisRow" fieldPosition="0"/>
    </format>
    <format dxfId="189">
      <pivotArea dataOnly="0" labelOnly="1" outline="0" fieldPosition="0">
        <references count="1">
          <reference field="1" count="0"/>
        </references>
      </pivotArea>
    </format>
    <format dxfId="188">
      <pivotArea dataOnly="0" labelOnly="1" outline="0" fieldPosition="0">
        <references count="1">
          <reference field="4294967294" count="5">
            <x v="0"/>
            <x v="1"/>
            <x v="2"/>
            <x v="3"/>
            <x v="4"/>
          </reference>
        </references>
      </pivotArea>
    </format>
  </formats>
  <conditionalFormats count="5">
    <conditionalFormat priority="1">
      <pivotAreas count="1">
        <pivotArea type="data" outline="0" collapsedLevelsAreSubtotals="1" fieldPosition="0">
          <references count="1">
            <reference field="4294967294" count="1" selected="0">
              <x v="2"/>
            </reference>
          </references>
        </pivotArea>
      </pivotAreas>
    </conditionalFormat>
    <conditionalFormat priority="2">
      <pivotAreas count="1">
        <pivotArea type="data" outline="0" collapsedLevelsAreSubtotals="1" fieldPosition="0">
          <references count="1">
            <reference field="4294967294" count="1" selected="0">
              <x v="4"/>
            </reference>
          </references>
        </pivotArea>
      </pivotAreas>
    </conditionalFormat>
    <conditionalFormat priority="3">
      <pivotAreas count="1">
        <pivotArea type="data" outline="0" collapsedLevelsAreSubtotals="1" fieldPosition="0">
          <references count="1">
            <reference field="4294967294" count="1" selected="0">
              <x v="3"/>
            </reference>
          </references>
        </pivotArea>
      </pivotAreas>
    </conditionalFormat>
    <conditionalFormat priority="4">
      <pivotAreas count="1">
        <pivotArea type="data" outline="0" collapsedLevelsAreSubtotals="1" fieldPosition="0">
          <references count="1">
            <reference field="4294967294" count="1" selected="0">
              <x v="1"/>
            </reference>
          </references>
        </pivotArea>
      </pivotAreas>
    </conditionalFormat>
    <conditionalFormat priority="5">
      <pivotAreas count="1">
        <pivotArea type="data" outline="0" collapsedLevelsAreSubtotals="1" fieldPosition="0">
          <references count="1">
            <reference field="4294967294" count="1" selected="0">
              <x v="0"/>
            </reference>
          </references>
        </pivotArea>
      </pivotAreas>
    </conditionalFormat>
  </conditional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6FA09AA-750C-4E85-931D-C36541E6AB89}" name="PivotTable6"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rowHeaderCaption="State">
  <location ref="A39:B54" firstHeaderRow="1"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dataField="1" numFmtId="165" showAll="0"/>
    <pivotField numFmtId="165" showAll="0"/>
    <pivotField numFmtId="10" showAll="0"/>
    <pivotField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Obesity Rate " fld="9" baseField="1" baseItem="0" numFmtId="165"/>
  </dataFields>
  <formats count="10">
    <format dxfId="123">
      <pivotArea type="all" dataOnly="0" outline="0" fieldPosition="0"/>
    </format>
    <format dxfId="122">
      <pivotArea outline="0" collapsedLevelsAreSubtotals="1" fieldPosition="0"/>
    </format>
    <format dxfId="121">
      <pivotArea field="1" type="button" dataOnly="0" labelOnly="1" outline="0" axis="axisRow" fieldPosition="0"/>
    </format>
    <format dxfId="120">
      <pivotArea dataOnly="0" labelOnly="1" fieldPosition="0">
        <references count="1">
          <reference field="1" count="0"/>
        </references>
      </pivotArea>
    </format>
    <format dxfId="119">
      <pivotArea dataOnly="0" labelOnly="1" outline="0" axis="axisValues" fieldPosition="0"/>
    </format>
    <format dxfId="118">
      <pivotArea type="all" dataOnly="0" outline="0" fieldPosition="0"/>
    </format>
    <format dxfId="117">
      <pivotArea outline="0" collapsedLevelsAreSubtotals="1" fieldPosition="0"/>
    </format>
    <format dxfId="116">
      <pivotArea field="1" type="button" dataOnly="0" labelOnly="1" outline="0" axis="axisRow" fieldPosition="0"/>
    </format>
    <format dxfId="115">
      <pivotArea dataOnly="0" labelOnly="1" fieldPosition="0">
        <references count="1">
          <reference field="1" count="0"/>
        </references>
      </pivotArea>
    </format>
    <format dxfId="114">
      <pivotArea dataOnly="0" labelOnly="1" outline="0" axis="axisValues" fieldPosition="0"/>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115F10-95D2-4EA5-9EFB-84E538AB3F68}" name="PivotTable5"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rowHeaderCaption="State">
  <location ref="A22:C37" firstHeaderRow="0"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dataField="1" numFmtId="165" showAll="0"/>
    <pivotField numFmtId="10" showAll="0"/>
    <pivotField showAll="0"/>
    <pivotField numFmtId="166" showAll="0"/>
    <pivotField numFmtId="166" showAll="0"/>
    <pivotField dataField="1" numFmtId="10" showAll="0"/>
  </pivotFields>
  <rowFields count="1">
    <field x="1"/>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Poverty Rate " fld="10" baseField="1" baseItem="0" numFmtId="165"/>
    <dataField name="Crime Rate " fld="15" baseField="1" baseItem="0" numFmtId="10"/>
  </dataFields>
  <formats count="10">
    <format dxfId="133">
      <pivotArea type="all" dataOnly="0" outline="0" fieldPosition="0"/>
    </format>
    <format dxfId="132">
      <pivotArea outline="0" collapsedLevelsAreSubtotals="1" fieldPosition="0"/>
    </format>
    <format dxfId="131">
      <pivotArea field="1" type="button" dataOnly="0" labelOnly="1" outline="0" axis="axisRow" fieldPosition="0"/>
    </format>
    <format dxfId="130">
      <pivotArea dataOnly="0" labelOnly="1" fieldPosition="0">
        <references count="1">
          <reference field="1" count="0"/>
        </references>
      </pivotArea>
    </format>
    <format dxfId="129">
      <pivotArea dataOnly="0" labelOnly="1" outline="0" fieldPosition="0">
        <references count="1">
          <reference field="4294967294" count="2">
            <x v="0"/>
            <x v="1"/>
          </reference>
        </references>
      </pivotArea>
    </format>
    <format dxfId="128">
      <pivotArea type="all" dataOnly="0" outline="0" fieldPosition="0"/>
    </format>
    <format dxfId="127">
      <pivotArea outline="0" collapsedLevelsAreSubtotals="1" fieldPosition="0"/>
    </format>
    <format dxfId="126">
      <pivotArea field="1" type="button" dataOnly="0" labelOnly="1" outline="0" axis="axisRow" fieldPosition="0"/>
    </format>
    <format dxfId="125">
      <pivotArea dataOnly="0" labelOnly="1" fieldPosition="0">
        <references count="1">
          <reference field="1" count="0"/>
        </references>
      </pivotArea>
    </format>
    <format dxfId="124">
      <pivotArea dataOnly="0" labelOnly="1" outline="0" fieldPosition="0">
        <references count="1">
          <reference field="4294967294" count="2">
            <x v="0"/>
            <x v="1"/>
          </reference>
        </references>
      </pivotArea>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F726F60-6592-42C7-A7C2-56847BD170AD}" name="PivotTable9"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rowHeaderCaption="State">
  <location ref="A90:B105" firstHeaderRow="1" firstDataRow="1" firstDataCol="1"/>
  <pivotFields count="16">
    <pivotField dataField="1" numFmtId="1" showAll="0"/>
    <pivotField axis="axisRow" showAll="0" sortType="ascending">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numFmtId="10" showAll="0"/>
    <pivotField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 Rankings" fld="0" baseField="1" baseItem="0" numFmtId="1"/>
  </dataFields>
  <formats count="10">
    <format dxfId="143">
      <pivotArea type="all" dataOnly="0" outline="0" fieldPosition="0"/>
    </format>
    <format dxfId="142">
      <pivotArea outline="0" collapsedLevelsAreSubtotals="1" fieldPosition="0"/>
    </format>
    <format dxfId="141">
      <pivotArea field="1" type="button" dataOnly="0" labelOnly="1" outline="0" axis="axisRow" fieldPosition="0"/>
    </format>
    <format dxfId="140">
      <pivotArea dataOnly="0" labelOnly="1" fieldPosition="0">
        <references count="1">
          <reference field="1" count="0"/>
        </references>
      </pivotArea>
    </format>
    <format dxfId="139">
      <pivotArea dataOnly="0" labelOnly="1" outline="0" axis="axisValues" fieldPosition="0"/>
    </format>
    <format dxfId="138">
      <pivotArea type="all" dataOnly="0" outline="0" fieldPosition="0"/>
    </format>
    <format dxfId="137">
      <pivotArea outline="0" collapsedLevelsAreSubtotals="1" fieldPosition="0"/>
    </format>
    <format dxfId="136">
      <pivotArea field="1" type="button" dataOnly="0" labelOnly="1" outline="0" axis="axisRow" fieldPosition="0"/>
    </format>
    <format dxfId="135">
      <pivotArea dataOnly="0" labelOnly="1" fieldPosition="0">
        <references count="1">
          <reference field="1" count="0"/>
        </references>
      </pivotArea>
    </format>
    <format dxfId="134">
      <pivotArea dataOnly="0" labelOnly="1" outline="0" axis="axisValues" fieldPosition="0"/>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C6AB51D-7833-42A2-AA6B-F4BC39347B5D}" name="PivotTable2"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2:E3" firstHeaderRow="0" firstDataRow="1" firstDataCol="0"/>
  <pivotFields count="16">
    <pivotField numFmtId="1" showAll="0"/>
    <pivotField showAll="0">
      <items count="16">
        <item x="8"/>
        <item x="4"/>
        <item x="5"/>
        <item x="9"/>
        <item x="3"/>
        <item x="2"/>
        <item x="1"/>
        <item x="13"/>
        <item x="14"/>
        <item x="10"/>
        <item x="0"/>
        <item x="6"/>
        <item x="12"/>
        <item x="7"/>
        <item x="11"/>
        <item t="default"/>
      </items>
    </pivotField>
    <pivotField showAll="0"/>
    <pivotField showAll="0"/>
    <pivotField dataField="1" numFmtId="167" showAll="0"/>
    <pivotField dataField="1" numFmtId="1" showAll="0"/>
    <pivotField dataField="1" numFmtId="164" showAll="0"/>
    <pivotField dataField="1" numFmtId="10" showAll="0"/>
    <pivotField dataField="1" numFmtId="10" showAll="0"/>
    <pivotField numFmtId="165" showAll="0"/>
    <pivotField numFmtId="165" showAll="0"/>
    <pivotField numFmtId="10" showAll="0"/>
    <pivotField showAll="0"/>
    <pivotField numFmtId="166" showAll="0"/>
    <pivotField numFmtId="166" showAll="0"/>
    <pivotField numFmtId="10" showAll="0"/>
  </pivotFields>
  <rowItems count="1">
    <i/>
  </rowItems>
  <colFields count="1">
    <field x="-2"/>
  </colFields>
  <colItems count="5">
    <i>
      <x/>
    </i>
    <i i="1">
      <x v="1"/>
    </i>
    <i i="2">
      <x v="2"/>
    </i>
    <i i="3">
      <x v="3"/>
    </i>
    <i i="4">
      <x v="4"/>
    </i>
  </colItems>
  <dataFields count="5">
    <dataField name="Total GDP (in Billions)" fld="4" baseField="0" baseItem="1" numFmtId="167"/>
    <dataField name="Total Population" fld="5" baseField="0" baseItem="1" numFmtId="1"/>
    <dataField name="Average Income" fld="6" subtotal="average" baseField="0" baseItem="2" numFmtId="164"/>
    <dataField name="Average Job Growth Rate" fld="7" subtotal="average" baseField="0" baseItem="3" numFmtId="10"/>
    <dataField name="Average Migration Rate" fld="8" subtotal="average" baseField="0" baseItem="4" numFmtId="10"/>
  </dataFields>
  <formats count="6">
    <format dxfId="149">
      <pivotArea type="all" dataOnly="0" outline="0" fieldPosition="0"/>
    </format>
    <format dxfId="148">
      <pivotArea outline="0" collapsedLevelsAreSubtotals="1" fieldPosition="0"/>
    </format>
    <format dxfId="147">
      <pivotArea dataOnly="0" labelOnly="1" outline="0" fieldPosition="0">
        <references count="1">
          <reference field="4294967294" count="5">
            <x v="0"/>
            <x v="1"/>
            <x v="2"/>
            <x v="3"/>
            <x v="4"/>
          </reference>
        </references>
      </pivotArea>
    </format>
    <format dxfId="146">
      <pivotArea type="all" dataOnly="0" outline="0" fieldPosition="0"/>
    </format>
    <format dxfId="145">
      <pivotArea outline="0" collapsedLevelsAreSubtotals="1" fieldPosition="0"/>
    </format>
    <format dxfId="144">
      <pivotArea dataOnly="0" labelOnly="1" outline="0" fieldPosition="0">
        <references count="1">
          <reference field="4294967294" count="5">
            <x v="0"/>
            <x v="1"/>
            <x v="2"/>
            <x v="3"/>
            <x v="4"/>
          </reference>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C135A0E-1468-4F8C-BBF4-157D6DE260A1}" name="PivotTable3"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2" rowHeaderCaption="State">
  <location ref="A5:B20" firstHeaderRow="1"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dataField="1" showAll="0"/>
    <pivotField numFmtId="167" showAll="0"/>
    <pivotField numFmtId="1" showAll="0"/>
    <pivotField numFmtId="164" showAll="0"/>
    <pivotField numFmtId="10" showAll="0"/>
    <pivotField numFmtId="10" showAll="0"/>
    <pivotField numFmtId="165" showAll="0"/>
    <pivotField numFmtId="165" showAll="0"/>
    <pivotField numFmtId="10" showAll="0"/>
    <pivotField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Total Area (in SQ. MI.)" fld="3" baseField="1" baseItem="0"/>
  </dataFields>
  <formats count="10">
    <format dxfId="159">
      <pivotArea type="all" dataOnly="0" outline="0" fieldPosition="0"/>
    </format>
    <format dxfId="158">
      <pivotArea outline="0" collapsedLevelsAreSubtotals="1" fieldPosition="0"/>
    </format>
    <format dxfId="157">
      <pivotArea field="1" type="button" dataOnly="0" labelOnly="1" outline="0" axis="axisRow" fieldPosition="0"/>
    </format>
    <format dxfId="156">
      <pivotArea dataOnly="0" labelOnly="1" fieldPosition="0">
        <references count="1">
          <reference field="1" count="0"/>
        </references>
      </pivotArea>
    </format>
    <format dxfId="155">
      <pivotArea dataOnly="0" labelOnly="1" outline="0" axis="axisValues" fieldPosition="0"/>
    </format>
    <format dxfId="154">
      <pivotArea type="all" dataOnly="0" outline="0" fieldPosition="0"/>
    </format>
    <format dxfId="153">
      <pivotArea outline="0" collapsedLevelsAreSubtotals="1" fieldPosition="0"/>
    </format>
    <format dxfId="152">
      <pivotArea field="1" type="button" dataOnly="0" labelOnly="1" outline="0" axis="axisRow" fieldPosition="0"/>
    </format>
    <format dxfId="151">
      <pivotArea dataOnly="0" labelOnly="1" fieldPosition="0">
        <references count="1">
          <reference field="1" count="0"/>
        </references>
      </pivotArea>
    </format>
    <format dxfId="150">
      <pivotArea dataOnly="0" labelOnly="1" outline="0" axis="axisValues" fieldPosition="0"/>
    </format>
  </formats>
  <chartFormats count="1">
    <chartFormat chart="46" format="2"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9E93486-04A2-4B2F-94AE-67DE153653F0}" name="PivotTable1"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tate">
  <location ref="A107:B122" firstHeaderRow="1"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numFmtId="10" showAll="0"/>
    <pivotField dataField="1"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Average Air Quality Index" fld="12" subtotal="average" baseField="1" baseItem="0"/>
  </dataFields>
  <formats count="8">
    <format dxfId="167">
      <pivotArea type="all" dataOnly="0" outline="0" fieldPosition="0"/>
    </format>
    <format dxfId="166">
      <pivotArea outline="0" collapsedLevelsAreSubtotals="1" fieldPosition="0"/>
    </format>
    <format dxfId="165">
      <pivotArea field="1" type="button" dataOnly="0" labelOnly="1" outline="0" axis="axisRow" fieldPosition="0"/>
    </format>
    <format dxfId="164">
      <pivotArea dataOnly="0" labelOnly="1" fieldPosition="0">
        <references count="1">
          <reference field="1" count="0"/>
        </references>
      </pivotArea>
    </format>
    <format dxfId="163">
      <pivotArea type="all" dataOnly="0" outline="0" fieldPosition="0"/>
    </format>
    <format dxfId="162">
      <pivotArea outline="0" collapsedLevelsAreSubtotals="1" fieldPosition="0"/>
    </format>
    <format dxfId="161">
      <pivotArea field="1" type="button" dataOnly="0" labelOnly="1" outline="0" axis="axisRow" fieldPosition="0"/>
    </format>
    <format dxfId="160">
      <pivotArea dataOnly="0" labelOnly="1" fieldPosition="0">
        <references count="1">
          <reference field="1" count="0"/>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E43E709-4CE7-465B-BD83-630C365527EA}" name="PivotTable7"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State">
  <location ref="A56:C71" firstHeaderRow="0"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dataField="1" numFmtId="10" showAll="0"/>
    <pivotField showAll="0"/>
    <pivotField dataField="1"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Average Cost of Living Index " fld="13" baseField="1" baseItem="0" numFmtId="166"/>
    <dataField name="Graduation Rate " fld="11" baseField="1" baseItem="0" numFmtId="10"/>
  </dataFields>
  <formats count="10">
    <format dxfId="177">
      <pivotArea type="all" dataOnly="0" outline="0" fieldPosition="0"/>
    </format>
    <format dxfId="176">
      <pivotArea outline="0" collapsedLevelsAreSubtotals="1" fieldPosition="0"/>
    </format>
    <format dxfId="175">
      <pivotArea field="1" type="button" dataOnly="0" labelOnly="1" outline="0" axis="axisRow" fieldPosition="0"/>
    </format>
    <format dxfId="174">
      <pivotArea dataOnly="0" labelOnly="1" fieldPosition="0">
        <references count="1">
          <reference field="1" count="0"/>
        </references>
      </pivotArea>
    </format>
    <format dxfId="173">
      <pivotArea dataOnly="0" labelOnly="1" outline="0" fieldPosition="0">
        <references count="1">
          <reference field="4294967294" count="2">
            <x v="0"/>
            <x v="1"/>
          </reference>
        </references>
      </pivotArea>
    </format>
    <format dxfId="172">
      <pivotArea type="all" dataOnly="0" outline="0" fieldPosition="0"/>
    </format>
    <format dxfId="171">
      <pivotArea outline="0" collapsedLevelsAreSubtotals="1" fieldPosition="0"/>
    </format>
    <format dxfId="170">
      <pivotArea field="1" type="button" dataOnly="0" labelOnly="1" outline="0" axis="axisRow" fieldPosition="0"/>
    </format>
    <format dxfId="169">
      <pivotArea dataOnly="0" labelOnly="1" fieldPosition="0">
        <references count="1">
          <reference field="1" count="0"/>
        </references>
      </pivotArea>
    </format>
    <format dxfId="168">
      <pivotArea dataOnly="0" labelOnly="1" outline="0" fieldPosition="0">
        <references count="1">
          <reference field="4294967294" count="2">
            <x v="0"/>
            <x v="1"/>
          </reference>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7A45C2-08F2-42FD-8E31-72825D93FA7A}" name="PivotTable8"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tate">
  <location ref="A73:B88" firstHeaderRow="1"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numFmtId="10" showAll="0"/>
    <pivotField showAll="0"/>
    <pivotField numFmtId="166" showAll="0"/>
    <pivotField dataField="1"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Average Internet Speed (in MBPS) " fld="14" baseField="1" baseItem="0" numFmtId="166"/>
  </dataFields>
  <formats count="10">
    <format dxfId="187">
      <pivotArea type="all" dataOnly="0" outline="0" fieldPosition="0"/>
    </format>
    <format dxfId="186">
      <pivotArea outline="0" collapsedLevelsAreSubtotals="1" fieldPosition="0"/>
    </format>
    <format dxfId="185">
      <pivotArea field="1" type="button" dataOnly="0" labelOnly="1" outline="0" axis="axisRow" fieldPosition="0"/>
    </format>
    <format dxfId="184">
      <pivotArea dataOnly="0" labelOnly="1" fieldPosition="0">
        <references count="1">
          <reference field="1" count="0"/>
        </references>
      </pivotArea>
    </format>
    <format dxfId="183">
      <pivotArea dataOnly="0" labelOnly="1" outline="0" fieldPosition="0">
        <references count="1">
          <reference field="4294967294" count="1">
            <x v="0"/>
          </reference>
        </references>
      </pivotArea>
    </format>
    <format dxfId="182">
      <pivotArea type="all" dataOnly="0" outline="0" fieldPosition="0"/>
    </format>
    <format dxfId="181">
      <pivotArea outline="0" collapsedLevelsAreSubtotals="1" fieldPosition="0"/>
    </format>
    <format dxfId="180">
      <pivotArea field="1" type="button" dataOnly="0" labelOnly="1" outline="0" axis="axisRow" fieldPosition="0"/>
    </format>
    <format dxfId="179">
      <pivotArea dataOnly="0" labelOnly="1" fieldPosition="0">
        <references count="1">
          <reference field="1" count="0"/>
        </references>
      </pivotArea>
    </format>
    <format dxfId="178">
      <pivotArea dataOnly="0" labelOnly="1" outline="0" fieldPosition="0">
        <references count="1">
          <reference field="4294967294" count="1">
            <x v="0"/>
          </reference>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170F3A90-EB58-4E72-B774-C8EEBB7226ED}" sourceName="State">
  <pivotTables>
    <pivotTable tabId="11" name="PivotTable2"/>
    <pivotTable tabId="11" name="PivotTable8"/>
  </pivotTables>
  <data>
    <tabular pivotCacheId="462612815">
      <items count="15">
        <i x="8" s="1"/>
        <i x="4" s="1"/>
        <i x="5" s="1"/>
        <i x="9" s="1"/>
        <i x="3" s="1"/>
        <i x="2" s="1"/>
        <i x="1" s="1"/>
        <i x="13" s="1"/>
        <i x="14" s="1"/>
        <i x="10" s="1"/>
        <i x="0" s="1"/>
        <i x="6" s="1"/>
        <i x="12" s="1"/>
        <i x="7"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D8F974D8-B4A9-4508-8E80-46E295E521FF}" cache="Slicer_State" caption="State" style="SlicerStyleDark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69639A9-812A-463B-90AE-4F8511275A58}" name="Table1" displayName="Table1" ref="A1:P16" totalsRowShown="0" headerRowDxfId="113" dataDxfId="112">
  <autoFilter ref="A1:P16" xr:uid="{669639A9-812A-463B-90AE-4F8511275A58}"/>
  <tableColumns count="16">
    <tableColumn id="1" xr3:uid="{57292A3A-EEE8-4301-A210-EAB1F54216DC}" name="Rankings" dataDxfId="111"/>
    <tableColumn id="2" xr3:uid="{68E42384-987A-42C5-AF82-06D457040E25}" name="State" dataDxfId="110"/>
    <tableColumn id="3" xr3:uid="{6ED4CD34-880E-4E6B-9353-98CCFBA5CC3D}" name="Capital City" dataDxfId="109"/>
    <tableColumn id="4" xr3:uid="{BDADDE00-E40A-40FA-AFC3-613193BA267B}" name="Area (in SQ. MI.)" dataDxfId="108"/>
    <tableColumn id="5" xr3:uid="{413512E5-559A-49C1-8C67-060C11E7D550}" name="GDP (in Billions)" dataDxfId="107"/>
    <tableColumn id="6" xr3:uid="{3B69644B-18A8-4E71-921C-384F67DF2735}" name="Population" dataDxfId="106"/>
    <tableColumn id="7" xr3:uid="{EE0DA327-6D5A-4797-8C1C-9CE5DC01E5E6}" name="Median Income" dataDxfId="105"/>
    <tableColumn id="8" xr3:uid="{27183A92-3AC4-4F36-845C-3EAE3D643AE3}" name="Job Growth Rate" dataDxfId="104"/>
    <tableColumn id="9" xr3:uid="{B6C5E385-3547-4550-80F4-503A483798E5}" name="Net Migration Rate" dataDxfId="103"/>
    <tableColumn id="10" xr3:uid="{2FEE4597-3966-40EB-9F87-C6A6B8004EA0}" name="Obesity Rate" dataDxfId="102"/>
    <tableColumn id="11" xr3:uid="{06A98F74-FEFD-4E41-9E3B-CB6E882A51E8}" name="Poverty Rate" dataDxfId="101"/>
    <tableColumn id="12" xr3:uid="{8A44BFC8-50E7-4F78-B2F7-A2BA21A45F5E}" name="Graduation Rate" dataDxfId="100"/>
    <tableColumn id="13" xr3:uid="{7AEB1B28-199F-4441-AF3D-6024D59FFB2C}" name="Air Quality Index" dataDxfId="99"/>
    <tableColumn id="14" xr3:uid="{55C5838A-63F5-4EFC-BC9D-89AD58CB1519}" name="Average Cost of Living Index" dataDxfId="98"/>
    <tableColumn id="15" xr3:uid="{122A19B7-E745-4224-877C-2D8D96F0CB05}" name="Average Internet Speed (in MBPS)" dataDxfId="97"/>
    <tableColumn id="16" xr3:uid="{E5E7CFAB-7124-477E-83B2-29762BCAD612}" name="Crime Rate" dataDxfId="96"/>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hyperlink" Target="https://worldpopulationreview.com/state-rankings/crime-rate-by-state" TargetMode="External"/><Relationship Id="rId2" Type="http://schemas.openxmlformats.org/officeDocument/2006/relationships/hyperlink" Target="https://worldpopulationreview.com/state-rankings/air-quality-by-state" TargetMode="External"/><Relationship Id="rId1" Type="http://schemas.openxmlformats.org/officeDocument/2006/relationships/hyperlink" Target="https://www.usnews.com/news/best-states/rankings" TargetMode="External"/><Relationship Id="rId5" Type="http://schemas.openxmlformats.org/officeDocument/2006/relationships/drawing" Target="../drawings/drawing2.xml"/><Relationship Id="rId4" Type="http://schemas.openxmlformats.org/officeDocument/2006/relationships/hyperlink" Target="https://www.insure.com/cost-of-living-by-state.html" TargetMode="Externa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hyperlink" Target="https://www.usnews.com/news/best-states/rankings"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www.usnews.com/news/best-states/rankings"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worldpopulationreview.com/state-rankings/air-quality-by-state"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worldpopulationreview.com/state-rankings/crime-rate-by-state"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www.insure.com/cost-of-living-by-stat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B941-F653-4257-A237-027C945BD98E}">
  <sheetPr codeName="Sheet1"/>
  <dimension ref="A1:Z46"/>
  <sheetViews>
    <sheetView showGridLines="0" tabSelected="1" zoomScale="110" zoomScaleNormal="110" zoomScaleSheetLayoutView="100" workbookViewId="0"/>
  </sheetViews>
  <sheetFormatPr baseColWidth="10" defaultColWidth="8.83203125" defaultRowHeight="15" x14ac:dyDescent="0.2"/>
  <cols>
    <col min="1" max="1" width="2.5" style="50" customWidth="1"/>
    <col min="2" max="3" width="8.83203125" style="50"/>
    <col min="4" max="4" width="2.5" style="50" customWidth="1"/>
    <col min="5" max="5" width="15.6640625" style="50" bestFit="1" customWidth="1"/>
    <col min="6" max="6" width="21" style="50" bestFit="1" customWidth="1"/>
    <col min="7" max="8" width="15.6640625" style="50" bestFit="1" customWidth="1"/>
    <col min="9" max="9" width="24.33203125" style="50" bestFit="1" customWidth="1"/>
    <col min="10" max="10" width="22.6640625" style="50" bestFit="1" customWidth="1"/>
    <col min="11" max="11" width="2.5" style="50" customWidth="1"/>
    <col min="12" max="17" width="8.83203125" style="50"/>
    <col min="18" max="18" width="2.5" style="50" customWidth="1"/>
    <col min="19" max="23" width="8.83203125" style="50"/>
    <col min="24" max="24" width="5.5" style="50" customWidth="1"/>
    <col min="25" max="26" width="2.5" style="50" customWidth="1"/>
    <col min="27" max="16384" width="8.83203125" style="50"/>
  </cols>
  <sheetData>
    <row r="1" spans="1:26" x14ac:dyDescent="0.2">
      <c r="A1" s="60"/>
      <c r="B1" s="60"/>
      <c r="C1" s="60"/>
      <c r="D1" s="60"/>
      <c r="E1" s="60"/>
      <c r="F1" s="60"/>
      <c r="G1" s="60"/>
      <c r="H1" s="60"/>
      <c r="I1" s="60"/>
      <c r="J1" s="60"/>
      <c r="K1" s="60"/>
      <c r="L1" s="60"/>
      <c r="M1" s="60"/>
      <c r="N1" s="60"/>
      <c r="O1" s="60"/>
      <c r="P1" s="60"/>
      <c r="Q1" s="60"/>
      <c r="R1" s="60"/>
      <c r="S1" s="60"/>
      <c r="T1" s="60"/>
      <c r="U1" s="60"/>
      <c r="V1" s="60"/>
      <c r="W1" s="60"/>
      <c r="X1" s="60"/>
      <c r="Y1" s="60"/>
      <c r="Z1" s="60"/>
    </row>
    <row r="2" spans="1:26" x14ac:dyDescent="0.2">
      <c r="A2" s="60"/>
      <c r="B2" s="60"/>
      <c r="C2" s="60"/>
      <c r="D2" s="60"/>
      <c r="E2" s="60"/>
      <c r="F2" s="60"/>
      <c r="G2" s="60"/>
      <c r="H2" s="60"/>
      <c r="I2" s="60"/>
      <c r="J2" s="60"/>
      <c r="K2" s="60"/>
      <c r="L2" s="60"/>
      <c r="M2" s="60"/>
      <c r="N2" s="60"/>
      <c r="O2" s="60"/>
      <c r="P2" s="60"/>
      <c r="Q2" s="60"/>
      <c r="R2" s="60"/>
      <c r="S2" s="60"/>
      <c r="T2" s="60"/>
      <c r="U2" s="60"/>
      <c r="V2" s="60"/>
      <c r="W2" s="60"/>
      <c r="X2" s="60"/>
      <c r="Y2" s="60"/>
      <c r="Z2" s="60"/>
    </row>
    <row r="3" spans="1:26" x14ac:dyDescent="0.2">
      <c r="A3" s="60"/>
      <c r="B3" s="60"/>
      <c r="C3" s="60"/>
      <c r="D3" s="60"/>
      <c r="E3" s="60"/>
      <c r="F3" s="60"/>
      <c r="G3" s="60"/>
      <c r="H3" s="60"/>
      <c r="I3" s="60"/>
      <c r="J3" s="60"/>
      <c r="K3" s="60"/>
      <c r="L3" s="60"/>
      <c r="M3" s="60"/>
      <c r="N3" s="60"/>
      <c r="O3" s="60"/>
      <c r="P3" s="60"/>
      <c r="Q3" s="60"/>
      <c r="R3" s="60"/>
      <c r="S3" s="60"/>
      <c r="T3" s="60"/>
      <c r="U3" s="60"/>
      <c r="V3" s="60"/>
      <c r="W3" s="60"/>
      <c r="X3" s="60"/>
      <c r="Y3" s="60"/>
      <c r="Z3" s="60"/>
    </row>
    <row r="4" spans="1:26" x14ac:dyDescent="0.2">
      <c r="A4" s="60"/>
      <c r="B4" s="60"/>
      <c r="C4" s="60"/>
      <c r="D4" s="60"/>
      <c r="E4" s="60"/>
      <c r="F4" s="60"/>
      <c r="G4" s="60"/>
      <c r="H4" s="60"/>
      <c r="I4" s="60"/>
      <c r="J4" s="60"/>
      <c r="K4" s="60"/>
      <c r="L4" s="60"/>
      <c r="M4" s="60"/>
      <c r="N4" s="60"/>
      <c r="O4" s="60"/>
      <c r="P4" s="60"/>
      <c r="Q4" s="60"/>
      <c r="R4" s="60"/>
      <c r="S4" s="60"/>
      <c r="T4" s="60"/>
      <c r="U4" s="60"/>
      <c r="V4" s="60"/>
      <c r="W4" s="60"/>
      <c r="X4" s="60"/>
      <c r="Y4" s="60"/>
      <c r="Z4" s="60"/>
    </row>
    <row r="5" spans="1:26" x14ac:dyDescent="0.2">
      <c r="A5" s="60"/>
      <c r="B5" s="60"/>
      <c r="C5" s="60"/>
      <c r="D5" s="60"/>
      <c r="E5" s="60"/>
      <c r="F5" s="60"/>
      <c r="G5" s="60"/>
      <c r="H5" s="60"/>
      <c r="I5" s="60"/>
      <c r="J5" s="60"/>
      <c r="K5" s="60"/>
      <c r="L5" s="60"/>
      <c r="M5" s="60"/>
      <c r="N5" s="60"/>
      <c r="O5" s="60"/>
      <c r="P5" s="60"/>
      <c r="Q5" s="60"/>
      <c r="R5" s="60"/>
      <c r="S5" s="60"/>
      <c r="T5" s="60"/>
      <c r="U5" s="60"/>
      <c r="V5" s="60"/>
      <c r="W5" s="60"/>
      <c r="X5" s="60"/>
      <c r="Y5" s="60"/>
      <c r="Z5" s="60"/>
    </row>
    <row r="6" spans="1:26" x14ac:dyDescent="0.2">
      <c r="A6" s="60"/>
      <c r="B6" s="60"/>
      <c r="C6" s="60"/>
      <c r="D6" s="60"/>
      <c r="E6" s="60"/>
      <c r="F6" s="60"/>
      <c r="G6" s="60"/>
      <c r="H6" s="60"/>
      <c r="I6" s="60"/>
      <c r="J6" s="60"/>
      <c r="K6" s="60"/>
      <c r="L6" s="60"/>
      <c r="M6" s="60"/>
      <c r="N6" s="60"/>
      <c r="O6" s="60"/>
      <c r="P6" s="60"/>
      <c r="Q6" s="60"/>
      <c r="R6" s="60"/>
      <c r="S6" s="60"/>
      <c r="T6" s="60"/>
      <c r="U6" s="60"/>
      <c r="V6" s="60"/>
      <c r="W6" s="60"/>
      <c r="X6" s="60"/>
      <c r="Y6" s="60"/>
      <c r="Z6" s="60"/>
    </row>
    <row r="7" spans="1:26" x14ac:dyDescent="0.2">
      <c r="A7" s="60"/>
      <c r="B7" s="60"/>
      <c r="C7" s="60"/>
      <c r="D7" s="60"/>
      <c r="E7" s="60"/>
      <c r="F7" s="60"/>
      <c r="G7" s="60"/>
      <c r="H7" s="60"/>
      <c r="I7" s="60"/>
      <c r="J7" s="60"/>
      <c r="K7" s="60"/>
      <c r="L7" s="60"/>
      <c r="M7" s="60"/>
      <c r="N7" s="60"/>
      <c r="O7" s="60"/>
      <c r="P7" s="60"/>
      <c r="Q7" s="60"/>
      <c r="R7" s="60"/>
      <c r="S7" s="60"/>
      <c r="T7" s="60"/>
      <c r="U7" s="60"/>
      <c r="V7" s="60"/>
      <c r="W7" s="60"/>
      <c r="X7" s="60"/>
      <c r="Y7" s="60"/>
      <c r="Z7" s="60"/>
    </row>
    <row r="8" spans="1:26" x14ac:dyDescent="0.2">
      <c r="A8" s="60"/>
      <c r="B8" s="60"/>
      <c r="C8" s="60"/>
      <c r="D8" s="60"/>
      <c r="E8" s="60"/>
      <c r="F8" s="60"/>
      <c r="G8" s="60"/>
      <c r="H8" s="60"/>
      <c r="I8" s="60"/>
      <c r="J8" s="60"/>
      <c r="K8" s="60"/>
      <c r="L8" s="60"/>
      <c r="M8" s="60"/>
      <c r="N8" s="60"/>
      <c r="O8" s="60"/>
      <c r="P8" s="60"/>
      <c r="Q8" s="60"/>
      <c r="R8" s="60"/>
      <c r="S8" s="60"/>
      <c r="T8" s="60"/>
      <c r="U8" s="60"/>
      <c r="V8" s="60"/>
      <c r="W8" s="60"/>
      <c r="X8" s="60"/>
      <c r="Y8" s="60"/>
      <c r="Z8" s="60"/>
    </row>
    <row r="9" spans="1:26" x14ac:dyDescent="0.2">
      <c r="A9" s="60"/>
      <c r="B9" s="60"/>
      <c r="C9" s="60"/>
      <c r="D9" s="60"/>
      <c r="E9" s="60"/>
      <c r="F9" s="60"/>
      <c r="G9" s="60"/>
      <c r="H9" s="60"/>
      <c r="I9" s="60"/>
      <c r="J9" s="60"/>
      <c r="K9" s="60"/>
      <c r="L9" s="60"/>
      <c r="M9" s="60"/>
      <c r="N9" s="60"/>
      <c r="O9" s="60"/>
      <c r="P9" s="60"/>
      <c r="Q9" s="60"/>
      <c r="R9" s="60"/>
      <c r="S9" s="60"/>
      <c r="T9" s="60"/>
      <c r="U9" s="60"/>
      <c r="V9" s="60"/>
      <c r="W9" s="60"/>
      <c r="X9" s="60"/>
      <c r="Y9" s="60"/>
      <c r="Z9" s="60"/>
    </row>
    <row r="10" spans="1:26" x14ac:dyDescent="0.2">
      <c r="A10" s="60"/>
      <c r="B10" s="60"/>
      <c r="C10" s="60"/>
      <c r="D10" s="60"/>
      <c r="E10" s="60"/>
      <c r="F10" s="60"/>
      <c r="G10" s="60"/>
      <c r="H10" s="60"/>
      <c r="I10" s="60"/>
      <c r="J10" s="60"/>
      <c r="K10" s="60"/>
      <c r="L10" s="60"/>
      <c r="M10" s="60"/>
      <c r="N10" s="60"/>
      <c r="O10" s="60"/>
      <c r="P10" s="60"/>
      <c r="Q10" s="60"/>
      <c r="R10" s="60"/>
      <c r="S10" s="60"/>
      <c r="T10" s="60"/>
      <c r="U10" s="60"/>
      <c r="V10" s="60"/>
      <c r="W10" s="60"/>
      <c r="X10" s="60"/>
      <c r="Y10" s="60"/>
      <c r="Z10" s="60"/>
    </row>
    <row r="11" spans="1:26" x14ac:dyDescent="0.2">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row>
    <row r="12" spans="1:26" x14ac:dyDescent="0.2">
      <c r="A12" s="60"/>
      <c r="B12" s="60"/>
      <c r="C12" s="60"/>
      <c r="D12" s="60"/>
      <c r="E12" s="60"/>
      <c r="F12" s="60"/>
      <c r="G12" s="60"/>
      <c r="H12" s="60"/>
      <c r="I12" s="60"/>
      <c r="J12" s="60"/>
      <c r="K12" s="60"/>
      <c r="L12" s="60"/>
      <c r="M12" s="60"/>
      <c r="N12" s="60"/>
      <c r="O12" s="60"/>
      <c r="P12" s="60"/>
      <c r="Q12" s="60"/>
      <c r="R12" s="60"/>
      <c r="S12" s="60"/>
      <c r="T12" s="60"/>
      <c r="U12" s="60"/>
      <c r="V12" s="60"/>
      <c r="W12" s="60"/>
      <c r="X12" s="60"/>
      <c r="Y12" s="60"/>
      <c r="Z12" s="60"/>
    </row>
    <row r="13" spans="1:26" x14ac:dyDescent="0.2">
      <c r="A13" s="60"/>
      <c r="B13" s="60"/>
      <c r="C13" s="60"/>
      <c r="D13" s="60"/>
      <c r="E13" s="51" t="s">
        <v>0</v>
      </c>
      <c r="F13" s="51" t="s">
        <v>48</v>
      </c>
      <c r="G13" s="51" t="s">
        <v>49</v>
      </c>
      <c r="H13" s="51" t="s">
        <v>50</v>
      </c>
      <c r="I13" s="51" t="s">
        <v>51</v>
      </c>
      <c r="J13" s="51" t="s">
        <v>52</v>
      </c>
      <c r="K13" s="60"/>
      <c r="L13" s="60"/>
      <c r="M13" s="60"/>
      <c r="N13" s="60"/>
      <c r="O13" s="60"/>
      <c r="P13" s="60"/>
      <c r="Q13" s="60"/>
      <c r="R13" s="60"/>
      <c r="S13" s="60"/>
      <c r="T13" s="60"/>
      <c r="U13" s="60"/>
      <c r="V13" s="60"/>
      <c r="W13" s="60"/>
      <c r="X13" s="60"/>
      <c r="Y13" s="60"/>
      <c r="Z13" s="60"/>
    </row>
    <row r="14" spans="1:26" x14ac:dyDescent="0.2">
      <c r="A14" s="60"/>
      <c r="B14" s="60"/>
      <c r="C14" s="60"/>
      <c r="D14" s="60"/>
      <c r="E14" s="52" t="s">
        <v>21</v>
      </c>
      <c r="F14" s="53">
        <v>1580</v>
      </c>
      <c r="G14" s="54">
        <v>22610726</v>
      </c>
      <c r="H14" s="55">
        <v>39920</v>
      </c>
      <c r="I14" s="56">
        <v>4.8000000000000001E-2</v>
      </c>
      <c r="J14" s="56">
        <v>1.7000000000000001E-2</v>
      </c>
      <c r="K14" s="60"/>
      <c r="L14" s="60"/>
      <c r="M14" s="60"/>
      <c r="N14" s="60"/>
      <c r="O14" s="60"/>
      <c r="P14" s="60"/>
      <c r="Q14" s="60"/>
      <c r="R14" s="60"/>
      <c r="S14" s="60"/>
      <c r="T14" s="60"/>
      <c r="U14" s="60"/>
      <c r="V14" s="60"/>
      <c r="W14" s="60"/>
      <c r="X14" s="60"/>
      <c r="Y14" s="60"/>
      <c r="Z14" s="60"/>
    </row>
    <row r="15" spans="1:26" x14ac:dyDescent="0.2">
      <c r="A15" s="60"/>
      <c r="B15" s="60"/>
      <c r="C15" s="60"/>
      <c r="D15" s="60"/>
      <c r="E15" s="52" t="s">
        <v>17</v>
      </c>
      <c r="F15" s="53">
        <v>119</v>
      </c>
      <c r="G15" s="54">
        <v>1964726</v>
      </c>
      <c r="H15" s="55">
        <v>37395</v>
      </c>
      <c r="I15" s="56">
        <v>3.1E-2</v>
      </c>
      <c r="J15" s="56">
        <v>1.7999999999999999E-2</v>
      </c>
      <c r="K15" s="60"/>
      <c r="L15" s="60"/>
      <c r="M15" s="60"/>
      <c r="N15" s="60"/>
      <c r="O15" s="60"/>
      <c r="P15" s="60"/>
      <c r="Q15" s="60"/>
      <c r="R15" s="60"/>
      <c r="S15" s="60"/>
      <c r="T15" s="60"/>
      <c r="U15" s="60"/>
      <c r="V15" s="60"/>
      <c r="W15" s="60"/>
      <c r="X15" s="60"/>
      <c r="Y15" s="60"/>
      <c r="Z15" s="60"/>
    </row>
    <row r="16" spans="1:26" x14ac:dyDescent="0.2">
      <c r="A16" s="60"/>
      <c r="B16" s="60"/>
      <c r="C16" s="60"/>
      <c r="D16" s="60"/>
      <c r="E16" s="52" t="s">
        <v>18</v>
      </c>
      <c r="F16" s="53">
        <v>249</v>
      </c>
      <c r="G16" s="54">
        <v>3207004</v>
      </c>
      <c r="H16" s="55">
        <v>41625</v>
      </c>
      <c r="I16" s="56">
        <v>1.6E-2</v>
      </c>
      <c r="J16" s="56">
        <v>1E-3</v>
      </c>
      <c r="K16" s="60"/>
      <c r="L16" s="60"/>
      <c r="M16" s="60"/>
      <c r="N16" s="60"/>
      <c r="O16" s="60"/>
      <c r="P16" s="60"/>
      <c r="Q16" s="60"/>
      <c r="R16" s="60"/>
      <c r="S16" s="60"/>
      <c r="T16" s="60"/>
      <c r="U16" s="60"/>
      <c r="V16" s="60"/>
      <c r="W16" s="60"/>
      <c r="X16" s="60"/>
      <c r="Y16" s="60"/>
      <c r="Z16" s="60"/>
    </row>
    <row r="17" spans="1:26" x14ac:dyDescent="0.2">
      <c r="A17" s="60"/>
      <c r="B17" s="60"/>
      <c r="C17" s="60"/>
      <c r="D17" s="60"/>
      <c r="E17" s="52" t="s">
        <v>22</v>
      </c>
      <c r="F17" s="53">
        <v>734</v>
      </c>
      <c r="G17" s="54">
        <v>7001399</v>
      </c>
      <c r="H17" s="55">
        <v>52528</v>
      </c>
      <c r="I17" s="56">
        <v>2.1999999999999999E-2</v>
      </c>
      <c r="J17" s="56">
        <v>-1E-3</v>
      </c>
      <c r="K17" s="60"/>
      <c r="L17" s="60"/>
      <c r="M17" s="60"/>
      <c r="N17" s="60"/>
      <c r="O17" s="60"/>
      <c r="P17" s="60"/>
      <c r="Q17" s="60"/>
      <c r="R17" s="60"/>
      <c r="S17" s="60"/>
      <c r="T17" s="60"/>
      <c r="U17" s="60"/>
      <c r="V17" s="60"/>
      <c r="W17" s="60"/>
      <c r="X17" s="60"/>
      <c r="Y17" s="60"/>
      <c r="Z17" s="60"/>
    </row>
    <row r="18" spans="1:26" x14ac:dyDescent="0.2">
      <c r="A18" s="60"/>
      <c r="B18" s="60"/>
      <c r="C18" s="60"/>
      <c r="D18" s="60"/>
      <c r="E18" s="52" t="s">
        <v>16</v>
      </c>
      <c r="F18" s="53">
        <v>472</v>
      </c>
      <c r="G18" s="54">
        <v>5737915</v>
      </c>
      <c r="H18" s="55">
        <v>47393</v>
      </c>
      <c r="I18" s="56">
        <v>0.01</v>
      </c>
      <c r="J18" s="56">
        <v>-1E-3</v>
      </c>
      <c r="K18" s="60"/>
      <c r="L18" s="60"/>
      <c r="M18" s="60"/>
      <c r="N18" s="60"/>
      <c r="O18" s="60"/>
      <c r="P18" s="60"/>
      <c r="Q18" s="60"/>
      <c r="R18" s="60"/>
      <c r="S18" s="60"/>
      <c r="T18" s="60"/>
      <c r="U18" s="60"/>
      <c r="V18" s="60"/>
      <c r="W18" s="60"/>
      <c r="X18" s="60"/>
      <c r="Y18" s="60"/>
      <c r="Z18" s="60"/>
    </row>
    <row r="19" spans="1:26" x14ac:dyDescent="0.2">
      <c r="A19" s="60"/>
      <c r="B19" s="60"/>
      <c r="C19" s="60"/>
      <c r="D19" s="60"/>
      <c r="E19" s="52" t="s">
        <v>15</v>
      </c>
      <c r="F19" s="53">
        <v>178</v>
      </c>
      <c r="G19" s="54">
        <v>1978379</v>
      </c>
      <c r="H19" s="55">
        <v>41403</v>
      </c>
      <c r="I19" s="56">
        <v>0.01</v>
      </c>
      <c r="J19" s="56">
        <v>0</v>
      </c>
      <c r="K19" s="60"/>
      <c r="L19" s="60"/>
      <c r="M19" s="60"/>
      <c r="N19" s="60"/>
      <c r="O19" s="60"/>
      <c r="P19" s="60"/>
      <c r="Q19" s="60"/>
      <c r="R19" s="60"/>
      <c r="S19" s="60"/>
      <c r="T19" s="60"/>
      <c r="U19" s="60"/>
      <c r="V19" s="60"/>
      <c r="W19" s="60"/>
      <c r="X19" s="60"/>
      <c r="Y19" s="60"/>
      <c r="Z19" s="60"/>
    </row>
    <row r="20" spans="1:26" x14ac:dyDescent="0.2">
      <c r="A20" s="60"/>
      <c r="B20" s="60"/>
      <c r="C20" s="60"/>
      <c r="D20" s="60"/>
      <c r="E20" s="52" t="s">
        <v>10</v>
      </c>
      <c r="F20" s="53">
        <v>111</v>
      </c>
      <c r="G20" s="54">
        <v>1402054</v>
      </c>
      <c r="H20" s="55">
        <v>49617</v>
      </c>
      <c r="I20" s="56">
        <v>1.4999999999999999E-2</v>
      </c>
      <c r="J20" s="56">
        <v>7.0000000000000001E-3</v>
      </c>
      <c r="K20" s="60"/>
      <c r="L20" s="60"/>
      <c r="M20" s="60"/>
      <c r="N20" s="60"/>
      <c r="O20" s="60"/>
      <c r="P20" s="60"/>
      <c r="Q20" s="60"/>
      <c r="R20" s="60"/>
      <c r="S20" s="60"/>
      <c r="T20" s="60"/>
      <c r="U20" s="60"/>
      <c r="V20" s="60"/>
      <c r="W20" s="60"/>
      <c r="X20" s="60"/>
      <c r="Y20" s="60"/>
      <c r="Z20" s="60"/>
    </row>
    <row r="21" spans="1:26" x14ac:dyDescent="0.2">
      <c r="A21" s="60"/>
      <c r="B21" s="60"/>
      <c r="C21" s="60"/>
      <c r="D21" s="60"/>
      <c r="E21" s="52" t="s">
        <v>26</v>
      </c>
      <c r="F21" s="53">
        <v>799</v>
      </c>
      <c r="G21" s="54">
        <v>9290841</v>
      </c>
      <c r="H21" s="55">
        <v>51884</v>
      </c>
      <c r="I21" s="56">
        <v>3.2000000000000001E-2</v>
      </c>
      <c r="J21" s="56">
        <v>-1E-3</v>
      </c>
      <c r="K21" s="60"/>
      <c r="L21" s="60"/>
      <c r="M21" s="60"/>
      <c r="N21" s="60"/>
      <c r="O21" s="60"/>
      <c r="P21" s="60"/>
      <c r="Q21" s="60"/>
      <c r="R21" s="60"/>
      <c r="S21" s="60"/>
      <c r="T21" s="60"/>
      <c r="U21" s="60"/>
      <c r="V21" s="60"/>
      <c r="W21" s="60"/>
      <c r="X21" s="60"/>
      <c r="Y21" s="60"/>
      <c r="Z21" s="60"/>
    </row>
    <row r="22" spans="1:26" x14ac:dyDescent="0.2">
      <c r="A22" s="60"/>
      <c r="B22" s="60"/>
      <c r="C22" s="60"/>
      <c r="D22" s="60"/>
      <c r="E22" s="52" t="s">
        <v>27</v>
      </c>
      <c r="F22" s="53">
        <v>74</v>
      </c>
      <c r="G22" s="54">
        <v>783926</v>
      </c>
      <c r="H22" s="55">
        <v>42807</v>
      </c>
      <c r="I22" s="56">
        <v>1.7000000000000001E-2</v>
      </c>
      <c r="J22" s="56">
        <v>-1E-3</v>
      </c>
      <c r="K22" s="60"/>
      <c r="L22" s="60"/>
      <c r="M22" s="60"/>
      <c r="N22" s="60"/>
      <c r="O22" s="60"/>
      <c r="P22" s="60"/>
      <c r="Q22" s="60"/>
      <c r="R22" s="60"/>
      <c r="S22" s="60"/>
      <c r="T22" s="60"/>
      <c r="U22" s="60"/>
      <c r="V22" s="60"/>
      <c r="W22" s="60"/>
      <c r="X22" s="60"/>
      <c r="Y22" s="60"/>
      <c r="Z22" s="60"/>
    </row>
    <row r="23" spans="1:26" x14ac:dyDescent="0.2">
      <c r="A23" s="60"/>
      <c r="B23" s="60"/>
      <c r="C23" s="60"/>
      <c r="D23" s="60"/>
      <c r="E23" s="52" t="s">
        <v>23</v>
      </c>
      <c r="F23" s="53">
        <v>72</v>
      </c>
      <c r="G23" s="54">
        <v>919318</v>
      </c>
      <c r="H23" s="55">
        <v>40978</v>
      </c>
      <c r="I23" s="56">
        <v>1.9E-2</v>
      </c>
      <c r="J23" s="56">
        <v>8.9999999999999993E-3</v>
      </c>
      <c r="K23" s="60"/>
      <c r="L23" s="60"/>
      <c r="M23" s="60"/>
      <c r="N23" s="60"/>
      <c r="O23" s="60"/>
      <c r="P23" s="60"/>
      <c r="Q23" s="60"/>
      <c r="R23" s="60"/>
      <c r="S23" s="60"/>
      <c r="T23" s="60"/>
      <c r="U23" s="60"/>
      <c r="V23" s="60"/>
      <c r="W23" s="60"/>
      <c r="X23" s="60"/>
      <c r="Y23" s="60"/>
      <c r="Z23" s="60"/>
    </row>
    <row r="24" spans="1:26" x14ac:dyDescent="0.2">
      <c r="A24" s="60"/>
      <c r="B24" s="60"/>
      <c r="C24" s="60"/>
      <c r="D24" s="60"/>
      <c r="E24" s="52" t="s">
        <v>1</v>
      </c>
      <c r="F24" s="53">
        <v>273</v>
      </c>
      <c r="G24" s="54">
        <v>3417734</v>
      </c>
      <c r="H24" s="55">
        <v>40959</v>
      </c>
      <c r="I24" s="56">
        <v>3.6999999999999998E-2</v>
      </c>
      <c r="J24" s="56">
        <v>6.0000000000000001E-3</v>
      </c>
      <c r="K24" s="60"/>
      <c r="L24" s="60"/>
      <c r="M24" s="60"/>
      <c r="N24" s="60"/>
      <c r="O24" s="60"/>
      <c r="P24" s="60"/>
      <c r="Q24" s="60"/>
      <c r="R24" s="60"/>
      <c r="S24" s="60"/>
      <c r="T24" s="60"/>
      <c r="U24" s="60"/>
      <c r="V24" s="60"/>
      <c r="W24" s="60"/>
      <c r="X24" s="60"/>
      <c r="Y24" s="60"/>
      <c r="Z24" s="60"/>
    </row>
    <row r="25" spans="1:26" x14ac:dyDescent="0.2">
      <c r="A25" s="60"/>
      <c r="B25" s="60"/>
      <c r="C25" s="60"/>
      <c r="D25" s="60"/>
      <c r="E25" s="52" t="s">
        <v>19</v>
      </c>
      <c r="F25" s="53">
        <v>43</v>
      </c>
      <c r="G25" s="54">
        <v>647464</v>
      </c>
      <c r="H25" s="55">
        <v>42147</v>
      </c>
      <c r="I25" s="56">
        <v>2.3E-2</v>
      </c>
      <c r="J25" s="56">
        <v>5.0000000000000001E-3</v>
      </c>
      <c r="K25" s="60"/>
      <c r="L25" s="60"/>
      <c r="M25" s="60"/>
      <c r="N25" s="60"/>
      <c r="O25" s="60"/>
      <c r="P25" s="60"/>
      <c r="Q25" s="60"/>
      <c r="R25" s="60"/>
      <c r="S25" s="60"/>
      <c r="T25" s="60"/>
      <c r="U25" s="60"/>
      <c r="V25" s="60"/>
      <c r="W25" s="60"/>
      <c r="X25" s="60"/>
      <c r="Y25" s="60"/>
      <c r="Z25" s="60"/>
    </row>
    <row r="26" spans="1:26" x14ac:dyDescent="0.2">
      <c r="A26" s="60"/>
      <c r="B26" s="60"/>
      <c r="C26" s="60"/>
      <c r="D26" s="60"/>
      <c r="E26" s="52" t="s">
        <v>25</v>
      </c>
      <c r="F26" s="53">
        <v>707</v>
      </c>
      <c r="G26" s="54">
        <v>8715698</v>
      </c>
      <c r="H26" s="55">
        <v>48178</v>
      </c>
      <c r="I26" s="56">
        <v>0.03</v>
      </c>
      <c r="J26" s="56">
        <v>2E-3</v>
      </c>
      <c r="K26" s="60"/>
      <c r="L26" s="60"/>
      <c r="M26" s="60"/>
      <c r="N26" s="60"/>
      <c r="O26" s="60"/>
      <c r="P26" s="60"/>
      <c r="Q26" s="60"/>
      <c r="R26" s="60"/>
      <c r="S26" s="60"/>
      <c r="T26" s="60"/>
      <c r="U26" s="60"/>
      <c r="V26" s="60"/>
      <c r="W26" s="60"/>
      <c r="X26" s="60"/>
      <c r="Y26" s="60"/>
      <c r="Z26" s="60"/>
    </row>
    <row r="27" spans="1:26" x14ac:dyDescent="0.2">
      <c r="A27" s="60"/>
      <c r="B27" s="60"/>
      <c r="C27" s="60"/>
      <c r="D27" s="60"/>
      <c r="E27" s="52" t="s">
        <v>20</v>
      </c>
      <c r="F27" s="53">
        <v>802</v>
      </c>
      <c r="G27" s="54">
        <v>7812880</v>
      </c>
      <c r="H27" s="55">
        <v>51640</v>
      </c>
      <c r="I27" s="56">
        <v>2.7E-2</v>
      </c>
      <c r="J27" s="56">
        <v>2E-3</v>
      </c>
      <c r="K27" s="60"/>
      <c r="L27" s="60"/>
      <c r="M27" s="60"/>
      <c r="N27" s="60"/>
      <c r="O27" s="60"/>
      <c r="P27" s="60"/>
      <c r="Q27" s="60"/>
      <c r="R27" s="60"/>
      <c r="S27" s="60"/>
      <c r="T27" s="60"/>
      <c r="U27" s="60"/>
      <c r="V27" s="60"/>
      <c r="W27" s="60"/>
      <c r="X27" s="60"/>
      <c r="Y27" s="60"/>
      <c r="Z27" s="60"/>
    </row>
    <row r="28" spans="1:26" x14ac:dyDescent="0.2">
      <c r="A28" s="60"/>
      <c r="B28" s="60"/>
      <c r="C28" s="60"/>
      <c r="D28" s="60"/>
      <c r="E28" s="52" t="s">
        <v>24</v>
      </c>
      <c r="F28" s="53">
        <v>50</v>
      </c>
      <c r="G28" s="54">
        <v>584057</v>
      </c>
      <c r="H28" s="55">
        <v>39954</v>
      </c>
      <c r="I28" s="56">
        <v>1.2E-2</v>
      </c>
      <c r="J28" s="56">
        <v>4.0000000000000001E-3</v>
      </c>
      <c r="K28" s="60"/>
      <c r="L28" s="60"/>
      <c r="M28" s="60"/>
      <c r="N28" s="60"/>
      <c r="O28" s="60"/>
      <c r="P28" s="60"/>
      <c r="Q28" s="60"/>
      <c r="R28" s="60"/>
      <c r="S28" s="60"/>
      <c r="T28" s="60"/>
      <c r="U28" s="60"/>
      <c r="V28" s="60"/>
      <c r="W28" s="60"/>
      <c r="X28" s="60"/>
      <c r="Y28" s="60"/>
      <c r="Z28" s="60"/>
    </row>
    <row r="29" spans="1:26" x14ac:dyDescent="0.2">
      <c r="A29" s="60"/>
      <c r="B29" s="60"/>
      <c r="C29" s="60"/>
      <c r="D29" s="60"/>
      <c r="E29" s="60"/>
      <c r="F29" s="60"/>
      <c r="G29" s="60"/>
      <c r="H29" s="60"/>
      <c r="I29" s="60"/>
      <c r="J29" s="60"/>
      <c r="K29" s="60"/>
      <c r="L29" s="60"/>
      <c r="M29" s="60"/>
      <c r="N29" s="60"/>
      <c r="O29" s="60"/>
      <c r="P29" s="60"/>
      <c r="Q29" s="60"/>
      <c r="R29" s="60"/>
      <c r="S29" s="60"/>
      <c r="T29" s="60"/>
      <c r="U29" s="60"/>
      <c r="V29" s="60"/>
      <c r="W29" s="60"/>
      <c r="X29" s="60"/>
      <c r="Y29" s="60"/>
      <c r="Z29" s="60"/>
    </row>
    <row r="30" spans="1:26" ht="14.25" customHeight="1" x14ac:dyDescent="0.2">
      <c r="A30" s="60"/>
      <c r="B30" s="60"/>
      <c r="C30" s="60"/>
      <c r="D30" s="60"/>
      <c r="E30" s="65" t="s">
        <v>53</v>
      </c>
      <c r="F30" s="65" t="s">
        <v>57</v>
      </c>
      <c r="G30" s="65" t="s">
        <v>59</v>
      </c>
      <c r="H30" s="65" t="s">
        <v>61</v>
      </c>
      <c r="I30" s="65" t="s">
        <v>58</v>
      </c>
      <c r="J30" s="60"/>
      <c r="K30" s="60"/>
      <c r="L30" s="60"/>
      <c r="M30" s="60"/>
      <c r="N30" s="60"/>
      <c r="O30" s="60"/>
      <c r="P30" s="60"/>
      <c r="Q30" s="60"/>
      <c r="R30" s="60"/>
      <c r="S30" s="60"/>
      <c r="T30" s="60"/>
      <c r="U30" s="60"/>
      <c r="V30" s="60"/>
      <c r="W30" s="60"/>
      <c r="X30" s="60"/>
      <c r="Y30" s="60"/>
      <c r="Z30" s="60"/>
    </row>
    <row r="31" spans="1:26" x14ac:dyDescent="0.2">
      <c r="A31" s="60"/>
      <c r="B31" s="60"/>
      <c r="C31" s="60"/>
      <c r="D31" s="60"/>
      <c r="E31" s="65"/>
      <c r="F31" s="65"/>
      <c r="G31" s="65"/>
      <c r="H31" s="65"/>
      <c r="I31" s="65"/>
      <c r="J31" s="60"/>
      <c r="K31" s="60"/>
      <c r="L31" s="60"/>
      <c r="M31" s="60"/>
      <c r="N31" s="60"/>
      <c r="O31" s="60"/>
      <c r="P31" s="60"/>
      <c r="Q31" s="60"/>
      <c r="R31" s="60"/>
      <c r="S31" s="60"/>
      <c r="T31" s="60"/>
      <c r="U31" s="60"/>
      <c r="V31" s="60"/>
      <c r="W31" s="60"/>
      <c r="X31" s="60"/>
      <c r="Y31" s="60"/>
      <c r="Z31" s="60"/>
    </row>
    <row r="32" spans="1:26" x14ac:dyDescent="0.2">
      <c r="A32" s="60"/>
      <c r="B32" s="60"/>
      <c r="C32" s="60"/>
      <c r="D32" s="60"/>
      <c r="E32" s="65"/>
      <c r="F32" s="65"/>
      <c r="G32" s="65"/>
      <c r="H32" s="65"/>
      <c r="I32" s="65"/>
      <c r="J32" s="60"/>
      <c r="K32" s="60"/>
      <c r="L32" s="60"/>
      <c r="M32" s="60"/>
      <c r="N32" s="60"/>
      <c r="O32" s="60"/>
      <c r="P32" s="60"/>
      <c r="Q32" s="60"/>
      <c r="R32" s="62"/>
      <c r="S32" s="60"/>
      <c r="T32" s="60"/>
      <c r="U32" s="60"/>
      <c r="V32" s="60"/>
      <c r="W32" s="60"/>
      <c r="X32" s="60"/>
      <c r="Y32" s="60"/>
      <c r="Z32" s="60"/>
    </row>
    <row r="33" spans="1:26" x14ac:dyDescent="0.2">
      <c r="A33" s="60"/>
      <c r="B33" s="60"/>
      <c r="C33" s="60"/>
      <c r="D33" s="60"/>
      <c r="E33" s="65"/>
      <c r="F33" s="65"/>
      <c r="G33" s="65"/>
      <c r="H33" s="65"/>
      <c r="I33" s="65"/>
      <c r="J33" s="60"/>
      <c r="K33" s="60"/>
      <c r="L33" s="60"/>
      <c r="M33" s="60"/>
      <c r="N33" s="60"/>
      <c r="O33" s="60"/>
      <c r="P33" s="60"/>
      <c r="Q33" s="60"/>
      <c r="R33" s="60"/>
      <c r="S33" s="60"/>
      <c r="T33" s="60"/>
      <c r="U33" s="60"/>
      <c r="V33" s="60"/>
      <c r="W33" s="60"/>
      <c r="X33" s="60"/>
      <c r="Y33" s="60"/>
      <c r="Z33" s="60"/>
    </row>
    <row r="34" spans="1:26" x14ac:dyDescent="0.2">
      <c r="A34" s="60"/>
      <c r="B34" s="60"/>
      <c r="C34" s="60"/>
      <c r="D34" s="60"/>
      <c r="E34" s="65"/>
      <c r="F34" s="65"/>
      <c r="G34" s="65"/>
      <c r="H34" s="65"/>
      <c r="I34" s="65"/>
      <c r="J34" s="60"/>
      <c r="K34" s="60"/>
      <c r="L34" s="60"/>
      <c r="M34" s="60"/>
      <c r="N34" s="60"/>
      <c r="O34" s="60"/>
      <c r="P34" s="60"/>
      <c r="Q34" s="60"/>
      <c r="R34" s="60"/>
      <c r="S34" s="60"/>
      <c r="T34" s="60"/>
      <c r="U34" s="60"/>
      <c r="V34" s="60"/>
      <c r="W34" s="60"/>
      <c r="X34" s="60"/>
      <c r="Y34" s="60"/>
      <c r="Z34" s="60"/>
    </row>
    <row r="35" spans="1:26" x14ac:dyDescent="0.2">
      <c r="A35" s="60"/>
      <c r="B35" s="64" t="s">
        <v>0</v>
      </c>
      <c r="C35" s="64"/>
      <c r="D35" s="60"/>
      <c r="E35" s="65"/>
      <c r="F35" s="65"/>
      <c r="G35" s="65"/>
      <c r="H35" s="65"/>
      <c r="I35" s="65"/>
      <c r="J35" s="60"/>
      <c r="K35" s="60"/>
      <c r="L35" s="60"/>
      <c r="M35" s="60"/>
      <c r="N35" s="60"/>
      <c r="O35" s="60"/>
      <c r="P35" s="60"/>
      <c r="Q35" s="60"/>
      <c r="R35" s="60"/>
      <c r="S35" s="60"/>
      <c r="T35" s="60"/>
      <c r="U35" s="60"/>
      <c r="V35" s="60"/>
      <c r="W35" s="60"/>
      <c r="X35" s="60"/>
      <c r="Y35" s="60"/>
      <c r="Z35" s="60"/>
    </row>
    <row r="36" spans="1:26" x14ac:dyDescent="0.2">
      <c r="A36" s="60"/>
      <c r="B36" s="64"/>
      <c r="C36" s="64"/>
      <c r="D36" s="60"/>
      <c r="E36" s="65"/>
      <c r="F36" s="65"/>
      <c r="G36" s="65"/>
      <c r="H36" s="65"/>
      <c r="I36" s="65"/>
      <c r="J36" s="60"/>
      <c r="K36" s="60"/>
      <c r="L36" s="60"/>
      <c r="M36" s="60"/>
      <c r="N36" s="60"/>
      <c r="O36" s="60"/>
      <c r="P36" s="60"/>
      <c r="Q36" s="60"/>
      <c r="R36" s="60"/>
      <c r="S36" s="60"/>
      <c r="T36" s="60"/>
      <c r="U36" s="60"/>
      <c r="V36" s="60"/>
      <c r="W36" s="60"/>
      <c r="X36" s="60"/>
      <c r="Y36" s="60"/>
      <c r="Z36" s="60"/>
    </row>
    <row r="37" spans="1:26" x14ac:dyDescent="0.2">
      <c r="A37" s="60"/>
      <c r="B37" s="64"/>
      <c r="C37" s="64"/>
      <c r="D37" s="60"/>
      <c r="E37" s="65"/>
      <c r="F37" s="65"/>
      <c r="G37" s="65"/>
      <c r="H37" s="65"/>
      <c r="I37" s="65"/>
      <c r="J37" s="60"/>
      <c r="K37" s="60"/>
      <c r="L37" s="60"/>
      <c r="M37" s="60"/>
      <c r="N37" s="60"/>
      <c r="O37" s="60"/>
      <c r="P37" s="60"/>
      <c r="Q37" s="60"/>
      <c r="R37" s="60"/>
      <c r="S37" s="60"/>
      <c r="T37" s="60"/>
      <c r="U37" s="60"/>
      <c r="V37" s="60"/>
      <c r="W37" s="60"/>
      <c r="X37" s="60"/>
      <c r="Y37" s="60"/>
      <c r="Z37" s="60"/>
    </row>
    <row r="38" spans="1:26" x14ac:dyDescent="0.2">
      <c r="A38" s="60"/>
      <c r="B38" s="64"/>
      <c r="C38" s="64"/>
      <c r="D38" s="60"/>
      <c r="E38" s="67">
        <f>_xlfn.XLOOKUP(B41,Analyse!A91:A105,Analyse!B91:B105)</f>
        <v>1</v>
      </c>
      <c r="F38" s="68">
        <f>_xlfn.XLOOKUP(Dashboard!B41, Analyse!A40:A54, Analyse!B40:B54)</f>
        <v>0.313</v>
      </c>
      <c r="G38" s="69">
        <f>_xlfn.XLOOKUP(Dashboard!B41,Analyse!A57:A71,Analyse!C57:C71)</f>
        <v>0.47899999999999998</v>
      </c>
      <c r="H38" s="70">
        <f>_xlfn.XLOOKUP(Dashboard!B41,Analyse!A107:A122,Analyse!B107:B122)</f>
        <v>51.2</v>
      </c>
      <c r="I38" s="66">
        <f>_xlfn.XLOOKUP(Dashboard!B41, Analyse!A57:A71,Analyse!B57:B71)</f>
        <v>102.9</v>
      </c>
      <c r="J38" s="60"/>
      <c r="K38" s="60"/>
      <c r="L38" s="60"/>
      <c r="M38" s="60"/>
      <c r="N38" s="60"/>
      <c r="O38" s="60"/>
      <c r="P38" s="60"/>
      <c r="Q38" s="60"/>
      <c r="R38" s="60"/>
      <c r="S38" s="60"/>
      <c r="T38" s="60"/>
      <c r="U38" s="60"/>
      <c r="V38" s="60"/>
      <c r="W38" s="60"/>
      <c r="X38" s="60"/>
      <c r="Y38" s="60"/>
      <c r="Z38" s="60"/>
    </row>
    <row r="39" spans="1:26" x14ac:dyDescent="0.2">
      <c r="A39" s="60"/>
      <c r="B39" s="64"/>
      <c r="C39" s="64"/>
      <c r="D39" s="60"/>
      <c r="E39" s="67"/>
      <c r="F39" s="68"/>
      <c r="G39" s="69"/>
      <c r="H39" s="70"/>
      <c r="I39" s="66"/>
      <c r="J39" s="60"/>
      <c r="K39" s="60"/>
      <c r="L39" s="60"/>
      <c r="M39" s="60"/>
      <c r="N39" s="60"/>
      <c r="O39" s="60"/>
      <c r="P39" s="60"/>
      <c r="Q39" s="60"/>
      <c r="R39" s="60"/>
      <c r="S39" s="60"/>
      <c r="T39" s="60"/>
      <c r="U39" s="60"/>
      <c r="V39" s="60"/>
      <c r="W39" s="60"/>
      <c r="X39" s="60"/>
      <c r="Y39" s="60"/>
      <c r="Z39" s="60"/>
    </row>
    <row r="40" spans="1:26" x14ac:dyDescent="0.2">
      <c r="A40" s="60"/>
      <c r="B40" s="61"/>
      <c r="C40" s="61"/>
      <c r="D40" s="60"/>
      <c r="E40" s="67"/>
      <c r="F40" s="68"/>
      <c r="G40" s="69"/>
      <c r="H40" s="70"/>
      <c r="I40" s="66"/>
      <c r="J40" s="60"/>
      <c r="K40" s="60"/>
      <c r="L40" s="60"/>
      <c r="M40" s="60"/>
      <c r="N40" s="60"/>
      <c r="O40" s="60"/>
      <c r="P40" s="60"/>
      <c r="Q40" s="60"/>
      <c r="R40" s="60"/>
      <c r="S40" s="60"/>
      <c r="T40" s="60"/>
      <c r="U40" s="60"/>
      <c r="V40" s="60"/>
      <c r="W40" s="60"/>
      <c r="X40" s="60"/>
      <c r="Y40" s="60"/>
      <c r="Z40" s="60"/>
    </row>
    <row r="41" spans="1:26" ht="14.25" customHeight="1" x14ac:dyDescent="0.2">
      <c r="A41" s="60"/>
      <c r="B41" s="64" t="s">
        <v>1</v>
      </c>
      <c r="C41" s="64"/>
      <c r="D41" s="60"/>
      <c r="E41" s="67"/>
      <c r="F41" s="68"/>
      <c r="G41" s="69"/>
      <c r="H41" s="70"/>
      <c r="I41" s="66"/>
      <c r="J41" s="60"/>
      <c r="K41" s="60"/>
      <c r="L41" s="60"/>
      <c r="M41" s="60"/>
      <c r="N41" s="60"/>
      <c r="O41" s="60"/>
      <c r="P41" s="60"/>
      <c r="Q41" s="60"/>
      <c r="R41" s="60"/>
      <c r="S41" s="60"/>
      <c r="T41" s="60"/>
      <c r="U41" s="60"/>
      <c r="V41" s="60"/>
      <c r="W41" s="60"/>
      <c r="X41" s="60"/>
      <c r="Y41" s="60"/>
      <c r="Z41" s="60"/>
    </row>
    <row r="42" spans="1:26" ht="14.25" customHeight="1" x14ac:dyDescent="0.2">
      <c r="A42" s="60"/>
      <c r="B42" s="64"/>
      <c r="C42" s="64"/>
      <c r="D42" s="60"/>
      <c r="E42" s="67"/>
      <c r="F42" s="68"/>
      <c r="G42" s="69"/>
      <c r="H42" s="70"/>
      <c r="I42" s="66"/>
      <c r="J42" s="60"/>
      <c r="K42" s="60"/>
      <c r="L42" s="60"/>
      <c r="M42" s="60"/>
      <c r="N42" s="60"/>
      <c r="O42" s="60"/>
      <c r="P42" s="60"/>
      <c r="Q42" s="60"/>
      <c r="R42" s="60"/>
      <c r="S42" s="60"/>
      <c r="T42" s="60"/>
      <c r="U42" s="60"/>
      <c r="V42" s="60"/>
      <c r="W42" s="60"/>
      <c r="X42" s="60"/>
      <c r="Y42" s="60"/>
      <c r="Z42" s="60"/>
    </row>
    <row r="43" spans="1:26" ht="14.25" customHeight="1" x14ac:dyDescent="0.2">
      <c r="A43" s="60"/>
      <c r="B43" s="64"/>
      <c r="C43" s="64"/>
      <c r="D43" s="60"/>
      <c r="E43" s="67"/>
      <c r="F43" s="68"/>
      <c r="G43" s="69"/>
      <c r="H43" s="70"/>
      <c r="I43" s="66"/>
      <c r="J43" s="60"/>
      <c r="K43" s="60"/>
      <c r="L43" s="60"/>
      <c r="M43" s="60"/>
      <c r="N43" s="60"/>
      <c r="O43" s="60"/>
      <c r="P43" s="60"/>
      <c r="Q43" s="60"/>
      <c r="R43" s="60"/>
      <c r="S43" s="60"/>
      <c r="T43" s="60"/>
      <c r="U43" s="60"/>
      <c r="V43" s="60"/>
      <c r="W43" s="60"/>
      <c r="X43" s="60"/>
      <c r="Y43" s="60"/>
      <c r="Z43" s="60"/>
    </row>
    <row r="44" spans="1:26" ht="14.25" customHeight="1" x14ac:dyDescent="0.2">
      <c r="A44" s="60"/>
      <c r="B44" s="64"/>
      <c r="C44" s="64"/>
      <c r="D44" s="60"/>
      <c r="E44" s="67"/>
      <c r="F44" s="68"/>
      <c r="G44" s="69"/>
      <c r="H44" s="70"/>
      <c r="I44" s="66"/>
      <c r="J44" s="60"/>
      <c r="K44" s="60"/>
      <c r="L44" s="60"/>
      <c r="M44" s="60"/>
      <c r="N44" s="60"/>
      <c r="O44" s="60"/>
      <c r="P44" s="60"/>
      <c r="Q44" s="60"/>
      <c r="R44" s="60"/>
      <c r="S44" s="60"/>
      <c r="T44" s="60"/>
      <c r="U44" s="60"/>
      <c r="V44" s="60"/>
      <c r="W44" s="60"/>
      <c r="X44" s="60"/>
      <c r="Y44" s="60"/>
      <c r="Z44" s="60"/>
    </row>
    <row r="45" spans="1:26" ht="14.25" customHeight="1" x14ac:dyDescent="0.2">
      <c r="A45" s="60"/>
      <c r="B45" s="64"/>
      <c r="C45" s="64"/>
      <c r="D45" s="60"/>
      <c r="E45" s="67"/>
      <c r="F45" s="68"/>
      <c r="G45" s="69"/>
      <c r="H45" s="70"/>
      <c r="I45" s="66"/>
      <c r="J45" s="60"/>
      <c r="K45" s="60"/>
      <c r="L45" s="60"/>
      <c r="M45" s="60"/>
      <c r="N45" s="60"/>
      <c r="O45" s="60"/>
      <c r="P45" s="60"/>
      <c r="Q45" s="60"/>
      <c r="R45" s="60"/>
      <c r="S45" s="60"/>
      <c r="T45" s="60"/>
      <c r="U45" s="60"/>
      <c r="V45" s="60"/>
      <c r="W45" s="60"/>
      <c r="X45" s="60"/>
      <c r="Y45" s="60"/>
      <c r="Z45" s="60"/>
    </row>
    <row r="46" spans="1:26" ht="14.25" customHeight="1" x14ac:dyDescent="0.2">
      <c r="A46" s="60"/>
      <c r="B46" s="63"/>
      <c r="C46" s="63"/>
      <c r="D46" s="60"/>
      <c r="E46" s="60"/>
      <c r="F46" s="60"/>
      <c r="G46" s="60"/>
      <c r="H46" s="60"/>
      <c r="I46" s="60"/>
      <c r="J46" s="60"/>
      <c r="K46" s="60"/>
      <c r="L46" s="60"/>
      <c r="M46" s="60"/>
      <c r="N46" s="60"/>
      <c r="O46" s="60"/>
      <c r="P46" s="60"/>
      <c r="Q46" s="60"/>
      <c r="R46" s="60"/>
      <c r="S46" s="60"/>
      <c r="T46" s="60"/>
      <c r="U46" s="60"/>
      <c r="V46" s="60"/>
      <c r="W46" s="60"/>
      <c r="X46" s="60"/>
      <c r="Y46" s="60"/>
      <c r="Z46" s="60"/>
    </row>
  </sheetData>
  <sheetProtection selectLockedCells="1"/>
  <mergeCells count="12">
    <mergeCell ref="B35:C39"/>
    <mergeCell ref="B41:C45"/>
    <mergeCell ref="E30:E37"/>
    <mergeCell ref="F30:F37"/>
    <mergeCell ref="I30:I37"/>
    <mergeCell ref="I38:I45"/>
    <mergeCell ref="G30:G37"/>
    <mergeCell ref="H30:H37"/>
    <mergeCell ref="E38:E45"/>
    <mergeCell ref="F38:F45"/>
    <mergeCell ref="G38:G45"/>
    <mergeCell ref="H38:H45"/>
  </mergeCells>
  <conditionalFormatting pivot="1" sqref="F14:F28">
    <cfRule type="dataBar" priority="5">
      <dataBar>
        <cfvo type="min"/>
        <cfvo type="max"/>
        <color rgb="FF63C384"/>
      </dataBar>
      <extLst>
        <ext xmlns:x14="http://schemas.microsoft.com/office/spreadsheetml/2009/9/main" uri="{B025F937-C7B1-47D3-B67F-A62EFF666E3E}">
          <x14:id>{1C637D31-AC0E-4914-8CD0-96E58F3EF72B}</x14:id>
        </ext>
      </extLst>
    </cfRule>
  </conditionalFormatting>
  <conditionalFormatting pivot="1" sqref="G14:G28">
    <cfRule type="colorScale" priority="4">
      <colorScale>
        <cfvo type="min"/>
        <cfvo type="percentile" val="50"/>
        <cfvo type="max"/>
        <color rgb="FF5A8AC6"/>
        <color rgb="FFFCFCFF"/>
        <color rgb="FFF8696B"/>
      </colorScale>
    </cfRule>
  </conditionalFormatting>
  <conditionalFormatting pivot="1" sqref="I14:I28">
    <cfRule type="dataBar" priority="3">
      <dataBar>
        <cfvo type="min"/>
        <cfvo type="max"/>
        <color rgb="FF63C384"/>
      </dataBar>
      <extLst>
        <ext xmlns:x14="http://schemas.microsoft.com/office/spreadsheetml/2009/9/main" uri="{B025F937-C7B1-47D3-B67F-A62EFF666E3E}">
          <x14:id>{13586032-09A6-488A-BED2-87E6D771044B}</x14:id>
        </ext>
      </extLst>
    </cfRule>
  </conditionalFormatting>
  <conditionalFormatting pivot="1" sqref="J14:J28">
    <cfRule type="colorScale" priority="2">
      <colorScale>
        <cfvo type="min"/>
        <cfvo type="percentile" val="50"/>
        <cfvo type="max"/>
        <color rgb="FFF8696B"/>
        <color rgb="FFFCFCFF"/>
        <color rgb="FF5A8AC6"/>
      </colorScale>
    </cfRule>
  </conditionalFormatting>
  <conditionalFormatting pivot="1" sqref="H14:H28">
    <cfRule type="dataBar" priority="1">
      <dataBar>
        <cfvo type="min"/>
        <cfvo type="max"/>
        <color rgb="FF008AEF"/>
      </dataBar>
      <extLst>
        <ext xmlns:x14="http://schemas.microsoft.com/office/spreadsheetml/2009/9/main" uri="{B025F937-C7B1-47D3-B67F-A62EFF666E3E}">
          <x14:id>{669456EB-B4B8-4CF7-A659-262E4E3465CD}</x14:id>
        </ext>
      </extLst>
    </cfRule>
  </conditionalFormatting>
  <pageMargins left="0.7" right="0.7" top="0.75" bottom="0.75" header="0.3" footer="0.3"/>
  <pageSetup orientation="portrait" horizontalDpi="0" verticalDpi="0"/>
  <drawing r:id="rId2"/>
  <extLst>
    <ext xmlns:x14="http://schemas.microsoft.com/office/spreadsheetml/2009/9/main" uri="{78C0D931-6437-407d-A8EE-F0AAD7539E65}">
      <x14:conditionalFormattings>
        <x14:conditionalFormatting xmlns:xm="http://schemas.microsoft.com/office/excel/2006/main" pivot="1">
          <x14:cfRule type="dataBar" id="{1C637D31-AC0E-4914-8CD0-96E58F3EF72B}">
            <x14:dataBar minLength="0" maxLength="100" border="1" negativeBarBorderColorSameAsPositive="0">
              <x14:cfvo type="autoMin"/>
              <x14:cfvo type="autoMax"/>
              <x14:borderColor rgb="FF63C384"/>
              <x14:negativeFillColor rgb="FFFF0000"/>
              <x14:negativeBorderColor rgb="FFFF0000"/>
              <x14:axisColor rgb="FF000000"/>
            </x14:dataBar>
          </x14:cfRule>
          <xm:sqref>F14:F28</xm:sqref>
        </x14:conditionalFormatting>
        <x14:conditionalFormatting xmlns:xm="http://schemas.microsoft.com/office/excel/2006/main" pivot="1">
          <x14:cfRule type="dataBar" id="{13586032-09A6-488A-BED2-87E6D771044B}">
            <x14:dataBar minLength="0" maxLength="100" border="1" negativeBarBorderColorSameAsPositive="0">
              <x14:cfvo type="autoMin"/>
              <x14:cfvo type="autoMax"/>
              <x14:borderColor rgb="FF63C384"/>
              <x14:negativeFillColor rgb="FFFF0000"/>
              <x14:negativeBorderColor rgb="FFFF0000"/>
              <x14:axisColor rgb="FF000000"/>
            </x14:dataBar>
          </x14:cfRule>
          <xm:sqref>I14:I28</xm:sqref>
        </x14:conditionalFormatting>
        <x14:conditionalFormatting xmlns:xm="http://schemas.microsoft.com/office/excel/2006/main" pivot="1">
          <x14:cfRule type="dataBar" id="{669456EB-B4B8-4CF7-A659-262E4E3465CD}">
            <x14:dataBar minLength="0" maxLength="100" border="1" negativeBarBorderColorSameAsPositive="0">
              <x14:cfvo type="autoMin"/>
              <x14:cfvo type="autoMax"/>
              <x14:borderColor rgb="FF008AEF"/>
              <x14:negativeFillColor rgb="FFFF0000"/>
              <x14:negativeBorderColor rgb="FFFF0000"/>
              <x14:axisColor rgb="FF000000"/>
            </x14:dataBar>
          </x14:cfRule>
          <xm:sqref>H14:H28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CE3370D-28BC-424F-BB01-CCA3F80E3B79}">
          <x14:formula1>
            <xm:f>Analyse!$A$40:$A$54</xm:f>
          </x14:formula1>
          <xm:sqref>B41 B46:C46</xm:sqref>
        </x14:dataValidation>
      </x14:dataValidations>
    </ex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F486-0C54-4B10-A538-61F04DCF4EE2}">
  <sheetPr codeName="Sheet2"/>
  <dimension ref="A1:E46"/>
  <sheetViews>
    <sheetView showGridLines="0" workbookViewId="0"/>
  </sheetViews>
  <sheetFormatPr baseColWidth="10" defaultColWidth="8.83203125" defaultRowHeight="22" x14ac:dyDescent="0.3"/>
  <cols>
    <col min="1" max="1" width="3.6640625" style="42" customWidth="1"/>
    <col min="2" max="2" width="79.5" style="42" bestFit="1" customWidth="1"/>
    <col min="3" max="4" width="8.83203125" style="42"/>
    <col min="5" max="5" width="3.6640625" style="42" customWidth="1"/>
    <col min="6" max="16384" width="8.83203125" style="42"/>
  </cols>
  <sheetData>
    <row r="1" spans="1:5" x14ac:dyDescent="0.3">
      <c r="A1" s="57"/>
      <c r="B1" s="57"/>
      <c r="C1" s="57"/>
      <c r="D1" s="57"/>
      <c r="E1" s="57"/>
    </row>
    <row r="2" spans="1:5" x14ac:dyDescent="0.3">
      <c r="A2" s="57"/>
      <c r="B2" s="46"/>
      <c r="C2" s="46"/>
      <c r="D2" s="46"/>
      <c r="E2" s="57"/>
    </row>
    <row r="3" spans="1:5" x14ac:dyDescent="0.3">
      <c r="A3" s="57"/>
      <c r="B3" s="46"/>
      <c r="C3" s="46"/>
      <c r="D3" s="46"/>
      <c r="E3" s="57"/>
    </row>
    <row r="4" spans="1:5" x14ac:dyDescent="0.3">
      <c r="A4" s="57"/>
      <c r="B4" s="46"/>
      <c r="C4" s="46"/>
      <c r="D4" s="46"/>
      <c r="E4" s="57"/>
    </row>
    <row r="5" spans="1:5" x14ac:dyDescent="0.3">
      <c r="A5" s="57"/>
      <c r="B5" s="46"/>
      <c r="C5" s="46"/>
      <c r="D5" s="46"/>
      <c r="E5" s="57"/>
    </row>
    <row r="6" spans="1:5" x14ac:dyDescent="0.3">
      <c r="A6" s="57"/>
      <c r="B6" s="46"/>
      <c r="C6" s="46"/>
      <c r="D6" s="46"/>
      <c r="E6" s="57"/>
    </row>
    <row r="7" spans="1:5" x14ac:dyDescent="0.3">
      <c r="A7" s="57"/>
      <c r="B7" s="46"/>
      <c r="C7" s="46"/>
      <c r="D7" s="46"/>
      <c r="E7" s="57"/>
    </row>
    <row r="8" spans="1:5" x14ac:dyDescent="0.3">
      <c r="A8" s="57"/>
      <c r="B8" s="43" t="s">
        <v>69</v>
      </c>
      <c r="C8" s="46"/>
      <c r="D8" s="46"/>
      <c r="E8" s="57"/>
    </row>
    <row r="9" spans="1:5" x14ac:dyDescent="0.3">
      <c r="A9" s="57"/>
      <c r="B9" s="44"/>
      <c r="C9" s="46"/>
      <c r="D9" s="46"/>
      <c r="E9" s="57"/>
    </row>
    <row r="10" spans="1:5" x14ac:dyDescent="0.3">
      <c r="A10" s="57"/>
      <c r="B10" s="43" t="s">
        <v>71</v>
      </c>
      <c r="C10" s="46"/>
      <c r="D10" s="46"/>
      <c r="E10" s="57"/>
    </row>
    <row r="11" spans="1:5" x14ac:dyDescent="0.3">
      <c r="A11" s="57"/>
      <c r="B11" s="44"/>
      <c r="C11" s="46"/>
      <c r="D11" s="46"/>
      <c r="E11" s="57"/>
    </row>
    <row r="12" spans="1:5" x14ac:dyDescent="0.3">
      <c r="A12" s="57"/>
      <c r="B12" s="43" t="s">
        <v>74</v>
      </c>
      <c r="C12" s="46"/>
      <c r="D12" s="46"/>
      <c r="E12" s="57"/>
    </row>
    <row r="13" spans="1:5" x14ac:dyDescent="0.3">
      <c r="A13" s="57"/>
      <c r="B13" s="47" t="s">
        <v>63</v>
      </c>
      <c r="C13" s="46"/>
      <c r="D13" s="46"/>
      <c r="E13" s="57"/>
    </row>
    <row r="14" spans="1:5" x14ac:dyDescent="0.3">
      <c r="A14" s="57"/>
      <c r="B14" s="43" t="s">
        <v>75</v>
      </c>
      <c r="C14" s="46"/>
      <c r="D14" s="46"/>
      <c r="E14" s="57"/>
    </row>
    <row r="15" spans="1:5" x14ac:dyDescent="0.3">
      <c r="A15" s="57"/>
      <c r="B15" s="44" t="s">
        <v>70</v>
      </c>
      <c r="C15" s="46"/>
      <c r="D15" s="46"/>
      <c r="E15" s="57"/>
    </row>
    <row r="16" spans="1:5" x14ac:dyDescent="0.3">
      <c r="A16" s="57"/>
      <c r="B16" s="44" t="s">
        <v>8</v>
      </c>
      <c r="C16" s="46"/>
      <c r="D16" s="46"/>
      <c r="E16" s="57"/>
    </row>
    <row r="17" spans="1:5" x14ac:dyDescent="0.3">
      <c r="A17" s="57"/>
      <c r="B17" s="44" t="s">
        <v>9</v>
      </c>
      <c r="C17" s="46"/>
      <c r="D17" s="46"/>
      <c r="E17" s="57"/>
    </row>
    <row r="18" spans="1:5" x14ac:dyDescent="0.3">
      <c r="A18" s="57"/>
      <c r="B18" s="44" t="s">
        <v>2</v>
      </c>
      <c r="C18" s="46"/>
      <c r="D18" s="46"/>
      <c r="E18" s="57"/>
    </row>
    <row r="19" spans="1:5" x14ac:dyDescent="0.3">
      <c r="A19" s="57"/>
      <c r="B19" s="44" t="s">
        <v>47</v>
      </c>
      <c r="C19" s="46"/>
      <c r="D19" s="46"/>
      <c r="E19" s="57"/>
    </row>
    <row r="20" spans="1:5" x14ac:dyDescent="0.3">
      <c r="A20" s="57"/>
      <c r="B20" s="44" t="s">
        <v>3</v>
      </c>
      <c r="C20" s="46"/>
      <c r="D20" s="46"/>
      <c r="E20" s="57"/>
    </row>
    <row r="21" spans="1:5" x14ac:dyDescent="0.3">
      <c r="A21" s="57"/>
      <c r="B21" s="44" t="s">
        <v>4</v>
      </c>
      <c r="C21" s="46"/>
      <c r="D21" s="46"/>
      <c r="E21" s="57"/>
    </row>
    <row r="22" spans="1:5" x14ac:dyDescent="0.3">
      <c r="A22" s="57"/>
      <c r="B22" s="44" t="s">
        <v>37</v>
      </c>
      <c r="C22" s="46"/>
      <c r="D22" s="46"/>
      <c r="E22" s="57"/>
    </row>
    <row r="23" spans="1:5" x14ac:dyDescent="0.3">
      <c r="A23" s="57"/>
      <c r="B23" s="44" t="s">
        <v>5</v>
      </c>
      <c r="C23" s="46"/>
      <c r="D23" s="46"/>
      <c r="E23" s="57"/>
    </row>
    <row r="24" spans="1:5" x14ac:dyDescent="0.3">
      <c r="A24" s="57"/>
      <c r="B24" s="44" t="s">
        <v>6</v>
      </c>
      <c r="C24" s="46"/>
      <c r="D24" s="46"/>
      <c r="E24" s="57"/>
    </row>
    <row r="25" spans="1:5" x14ac:dyDescent="0.3">
      <c r="A25" s="57"/>
      <c r="B25" s="44"/>
      <c r="C25" s="46"/>
      <c r="D25" s="46"/>
      <c r="E25" s="57"/>
    </row>
    <row r="26" spans="1:5" x14ac:dyDescent="0.3">
      <c r="A26" s="57"/>
      <c r="B26" s="43" t="s">
        <v>72</v>
      </c>
      <c r="C26" s="46"/>
      <c r="D26" s="46"/>
      <c r="E26" s="57"/>
    </row>
    <row r="27" spans="1:5" x14ac:dyDescent="0.3">
      <c r="A27" s="57"/>
      <c r="B27" s="44"/>
      <c r="C27" s="46"/>
      <c r="D27" s="46"/>
      <c r="E27" s="57"/>
    </row>
    <row r="28" spans="1:5" x14ac:dyDescent="0.3">
      <c r="A28" s="57"/>
      <c r="B28" s="43" t="s">
        <v>76</v>
      </c>
      <c r="C28" s="46"/>
      <c r="D28" s="46"/>
      <c r="E28" s="57"/>
    </row>
    <row r="29" spans="1:5" x14ac:dyDescent="0.3">
      <c r="A29" s="58"/>
      <c r="B29" s="45" t="s">
        <v>65</v>
      </c>
      <c r="C29" s="48"/>
      <c r="D29" s="48"/>
      <c r="E29" s="58"/>
    </row>
    <row r="30" spans="1:5" x14ac:dyDescent="0.3">
      <c r="A30" s="58"/>
      <c r="B30" s="45" t="s">
        <v>66</v>
      </c>
      <c r="C30" s="48"/>
      <c r="D30" s="48"/>
      <c r="E30" s="58"/>
    </row>
    <row r="31" spans="1:5" x14ac:dyDescent="0.3">
      <c r="A31" s="57"/>
      <c r="B31" s="43" t="s">
        <v>75</v>
      </c>
      <c r="C31" s="46"/>
      <c r="D31" s="46"/>
      <c r="E31" s="57"/>
    </row>
    <row r="32" spans="1:5" x14ac:dyDescent="0.3">
      <c r="A32" s="57"/>
      <c r="B32" s="44" t="s">
        <v>7</v>
      </c>
      <c r="C32" s="46"/>
      <c r="D32" s="46"/>
      <c r="E32" s="57"/>
    </row>
    <row r="33" spans="1:5" x14ac:dyDescent="0.3">
      <c r="A33" s="57"/>
      <c r="B33" s="44" t="s">
        <v>46</v>
      </c>
      <c r="C33" s="46"/>
      <c r="D33" s="46"/>
      <c r="E33" s="57"/>
    </row>
    <row r="34" spans="1:5" x14ac:dyDescent="0.3">
      <c r="A34" s="57"/>
      <c r="B34" s="44"/>
      <c r="C34" s="46"/>
      <c r="D34" s="46"/>
      <c r="E34" s="57"/>
    </row>
    <row r="35" spans="1:5" x14ac:dyDescent="0.3">
      <c r="A35" s="57"/>
      <c r="B35" s="43" t="s">
        <v>73</v>
      </c>
      <c r="C35" s="46"/>
      <c r="D35" s="46"/>
      <c r="E35" s="57"/>
    </row>
    <row r="36" spans="1:5" x14ac:dyDescent="0.3">
      <c r="A36" s="57"/>
      <c r="B36" s="43"/>
      <c r="C36" s="46"/>
      <c r="D36" s="46"/>
      <c r="E36" s="57"/>
    </row>
    <row r="37" spans="1:5" x14ac:dyDescent="0.3">
      <c r="A37" s="57"/>
      <c r="B37" s="43" t="s">
        <v>74</v>
      </c>
      <c r="C37" s="46"/>
      <c r="D37" s="46"/>
      <c r="E37" s="57"/>
    </row>
    <row r="38" spans="1:5" x14ac:dyDescent="0.3">
      <c r="A38" s="57"/>
      <c r="B38" s="47" t="s">
        <v>68</v>
      </c>
      <c r="C38" s="46"/>
      <c r="D38" s="46"/>
      <c r="E38" s="57"/>
    </row>
    <row r="39" spans="1:5" x14ac:dyDescent="0.3">
      <c r="A39" s="57"/>
      <c r="B39" s="43" t="s">
        <v>75</v>
      </c>
      <c r="C39" s="46"/>
      <c r="D39" s="46"/>
      <c r="E39" s="57"/>
    </row>
    <row r="40" spans="1:5" x14ac:dyDescent="0.3">
      <c r="A40" s="57"/>
      <c r="B40" s="44" t="s">
        <v>44</v>
      </c>
      <c r="C40" s="46"/>
      <c r="D40" s="46"/>
      <c r="E40" s="57"/>
    </row>
    <row r="41" spans="1:5" x14ac:dyDescent="0.3">
      <c r="A41" s="57"/>
      <c r="B41" s="44" t="s">
        <v>45</v>
      </c>
      <c r="C41" s="46"/>
      <c r="D41" s="46"/>
      <c r="E41" s="57"/>
    </row>
    <row r="42" spans="1:5" x14ac:dyDescent="0.3">
      <c r="A42" s="57"/>
      <c r="B42" s="46"/>
      <c r="C42" s="46"/>
      <c r="D42" s="46"/>
      <c r="E42" s="57"/>
    </row>
    <row r="43" spans="1:5" x14ac:dyDescent="0.3">
      <c r="A43" s="59"/>
      <c r="B43" s="49"/>
      <c r="C43" s="49"/>
      <c r="D43" s="49"/>
      <c r="E43" s="59"/>
    </row>
    <row r="44" spans="1:5" x14ac:dyDescent="0.3">
      <c r="A44" s="59"/>
      <c r="B44" s="49"/>
      <c r="C44" s="49"/>
      <c r="D44" s="49"/>
      <c r="E44" s="59"/>
    </row>
    <row r="45" spans="1:5" x14ac:dyDescent="0.3">
      <c r="A45" s="59"/>
      <c r="B45" s="49"/>
      <c r="C45" s="49"/>
      <c r="D45" s="49"/>
      <c r="E45" s="59"/>
    </row>
    <row r="46" spans="1:5" x14ac:dyDescent="0.3">
      <c r="A46" s="59"/>
      <c r="B46" s="59"/>
      <c r="C46" s="59"/>
      <c r="D46" s="59"/>
      <c r="E46" s="59"/>
    </row>
  </sheetData>
  <hyperlinks>
    <hyperlink ref="B13" r:id="rId1" xr:uid="{64189AE0-EA58-7942-829F-F23CDAE763BF}"/>
    <hyperlink ref="B29" r:id="rId2" xr:uid="{628A8F78-0C75-C74D-AF59-FD6435BF8566}"/>
    <hyperlink ref="B30" r:id="rId3" xr:uid="{C16B5464-94DD-5340-A923-40284FAAA741}"/>
    <hyperlink ref="B38" r:id="rId4" xr:uid="{F3A8BD3A-7F2A-8C41-B13D-D65644139696}"/>
  </hyperlinks>
  <pageMargins left="0.7" right="0.7" top="0.75" bottom="0.75" header="0.3" footer="0.3"/>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00BCD-BC67-4EEF-898D-45881C684880}">
  <sheetPr codeName="Sheet3"/>
  <dimension ref="A2:F122"/>
  <sheetViews>
    <sheetView showGridLines="0" workbookViewId="0"/>
  </sheetViews>
  <sheetFormatPr baseColWidth="10" defaultColWidth="18.1640625" defaultRowHeight="15" x14ac:dyDescent="0.2"/>
  <cols>
    <col min="1" max="1" width="12.6640625" style="2" bestFit="1" customWidth="1"/>
    <col min="2" max="2" width="27.83203125" style="2" bestFit="1" customWidth="1"/>
    <col min="3" max="3" width="13.5" style="2" bestFit="1" customWidth="1"/>
    <col min="4" max="4" width="20.33203125" style="2" bestFit="1" customWidth="1"/>
    <col min="5" max="5" width="19" style="2" bestFit="1" customWidth="1"/>
  </cols>
  <sheetData>
    <row r="2" spans="1:5" x14ac:dyDescent="0.2">
      <c r="A2" s="2" t="s">
        <v>48</v>
      </c>
      <c r="B2" s="2" t="s">
        <v>49</v>
      </c>
      <c r="C2" s="2" t="s">
        <v>50</v>
      </c>
      <c r="D2" s="2" t="s">
        <v>51</v>
      </c>
      <c r="E2" s="2" t="s">
        <v>52</v>
      </c>
    </row>
    <row r="3" spans="1:5" x14ac:dyDescent="0.2">
      <c r="A3" s="9">
        <v>6263</v>
      </c>
      <c r="B3" s="3">
        <v>76074121</v>
      </c>
      <c r="C3" s="4">
        <v>44561.866666666669</v>
      </c>
      <c r="D3" s="5">
        <v>2.3266666666666665E-2</v>
      </c>
      <c r="E3" s="5">
        <v>4.4666666666666665E-3</v>
      </c>
    </row>
    <row r="5" spans="1:5" x14ac:dyDescent="0.2">
      <c r="A5" s="41" t="s">
        <v>0</v>
      </c>
      <c r="B5" s="2" t="s">
        <v>54</v>
      </c>
    </row>
    <row r="6" spans="1:5" x14ac:dyDescent="0.2">
      <c r="A6" s="2" t="s">
        <v>21</v>
      </c>
      <c r="B6" s="2">
        <v>71404</v>
      </c>
    </row>
    <row r="7" spans="1:5" x14ac:dyDescent="0.2">
      <c r="A7" s="2" t="s">
        <v>17</v>
      </c>
      <c r="B7" s="2">
        <v>83569</v>
      </c>
    </row>
    <row r="8" spans="1:5" x14ac:dyDescent="0.2">
      <c r="A8" s="2" t="s">
        <v>18</v>
      </c>
      <c r="B8" s="2">
        <v>56273</v>
      </c>
    </row>
    <row r="9" spans="1:5" x14ac:dyDescent="0.2">
      <c r="A9" s="2" t="s">
        <v>22</v>
      </c>
      <c r="B9" s="2">
        <v>10554</v>
      </c>
    </row>
    <row r="10" spans="1:5" x14ac:dyDescent="0.2">
      <c r="A10" s="2" t="s">
        <v>16</v>
      </c>
      <c r="B10" s="2">
        <v>86943</v>
      </c>
    </row>
    <row r="11" spans="1:5" x14ac:dyDescent="0.2">
      <c r="A11" s="2" t="s">
        <v>15</v>
      </c>
      <c r="B11" s="2">
        <v>77347</v>
      </c>
    </row>
    <row r="12" spans="1:5" x14ac:dyDescent="0.2">
      <c r="A12" s="2" t="s">
        <v>10</v>
      </c>
      <c r="B12" s="2">
        <v>9350</v>
      </c>
    </row>
    <row r="13" spans="1:5" x14ac:dyDescent="0.2">
      <c r="A13" s="2" t="s">
        <v>26</v>
      </c>
      <c r="B13" s="2">
        <v>8719</v>
      </c>
    </row>
    <row r="14" spans="1:5" x14ac:dyDescent="0.2">
      <c r="A14" s="2" t="s">
        <v>27</v>
      </c>
      <c r="B14" s="2">
        <v>70699</v>
      </c>
    </row>
    <row r="15" spans="1:5" x14ac:dyDescent="0.2">
      <c r="A15" s="2" t="s">
        <v>23</v>
      </c>
      <c r="B15" s="2">
        <v>77116</v>
      </c>
    </row>
    <row r="16" spans="1:5" x14ac:dyDescent="0.2">
      <c r="A16" s="2" t="s">
        <v>1</v>
      </c>
      <c r="B16" s="2">
        <v>84898</v>
      </c>
    </row>
    <row r="17" spans="1:3" x14ac:dyDescent="0.2">
      <c r="A17" s="2" t="s">
        <v>19</v>
      </c>
      <c r="B17" s="2">
        <v>9615</v>
      </c>
    </row>
    <row r="18" spans="1:3" x14ac:dyDescent="0.2">
      <c r="A18" s="2" t="s">
        <v>25</v>
      </c>
      <c r="B18" s="2">
        <v>42775</v>
      </c>
    </row>
    <row r="19" spans="1:3" x14ac:dyDescent="0.2">
      <c r="A19" s="2" t="s">
        <v>20</v>
      </c>
      <c r="B19" s="2">
        <v>71301</v>
      </c>
    </row>
    <row r="20" spans="1:3" x14ac:dyDescent="0.2">
      <c r="A20" s="2" t="s">
        <v>24</v>
      </c>
      <c r="B20" s="2">
        <v>97810</v>
      </c>
    </row>
    <row r="22" spans="1:3" x14ac:dyDescent="0.2">
      <c r="A22" s="41" t="s">
        <v>0</v>
      </c>
      <c r="B22" s="2" t="s">
        <v>55</v>
      </c>
      <c r="C22" s="2" t="s">
        <v>56</v>
      </c>
    </row>
    <row r="23" spans="1:3" x14ac:dyDescent="0.2">
      <c r="A23" s="2" t="s">
        <v>21</v>
      </c>
      <c r="B23" s="6">
        <v>0.127</v>
      </c>
      <c r="C23" s="5">
        <v>3.9219999999999998E-2</v>
      </c>
    </row>
    <row r="24" spans="1:3" x14ac:dyDescent="0.2">
      <c r="A24" s="2" t="s">
        <v>17</v>
      </c>
      <c r="B24" s="6">
        <v>0.107</v>
      </c>
      <c r="C24" s="5">
        <v>2.4660000000000001E-2</v>
      </c>
    </row>
    <row r="25" spans="1:3" x14ac:dyDescent="0.2">
      <c r="A25" s="2" t="s">
        <v>18</v>
      </c>
      <c r="B25" s="6">
        <v>0.126</v>
      </c>
      <c r="C25" s="5">
        <v>2.4660000000000001E-2</v>
      </c>
    </row>
    <row r="26" spans="1:3" x14ac:dyDescent="0.2">
      <c r="A26" s="2" t="s">
        <v>22</v>
      </c>
      <c r="B26" s="6">
        <v>0.104</v>
      </c>
      <c r="C26" s="5">
        <v>2.4150000000000001E-2</v>
      </c>
    </row>
    <row r="27" spans="1:3" x14ac:dyDescent="0.2">
      <c r="A27" s="2" t="s">
        <v>16</v>
      </c>
      <c r="B27" s="6">
        <v>9.6000000000000002E-2</v>
      </c>
      <c r="C27" s="5">
        <v>4.5269999999999998E-2</v>
      </c>
    </row>
    <row r="28" spans="1:3" x14ac:dyDescent="0.2">
      <c r="A28" s="2" t="s">
        <v>15</v>
      </c>
      <c r="B28" s="6">
        <v>0.112</v>
      </c>
      <c r="C28" s="5">
        <v>4.1520000000000001E-2</v>
      </c>
    </row>
    <row r="29" spans="1:3" x14ac:dyDescent="0.2">
      <c r="A29" s="2" t="s">
        <v>10</v>
      </c>
      <c r="B29" s="6">
        <v>7.1999999999999995E-2</v>
      </c>
      <c r="C29" s="5">
        <v>2.3439999999999999E-2</v>
      </c>
    </row>
    <row r="30" spans="1:3" x14ac:dyDescent="0.2">
      <c r="A30" s="2" t="s">
        <v>26</v>
      </c>
      <c r="B30" s="6">
        <v>9.7000000000000003E-2</v>
      </c>
      <c r="C30" s="5">
        <v>2.512E-2</v>
      </c>
    </row>
    <row r="31" spans="1:3" x14ac:dyDescent="0.2">
      <c r="A31" s="2" t="s">
        <v>27</v>
      </c>
      <c r="B31" s="6">
        <v>0.115</v>
      </c>
      <c r="C31" s="5">
        <v>4.5769999999999998E-2</v>
      </c>
    </row>
    <row r="32" spans="1:3" x14ac:dyDescent="0.2">
      <c r="A32" s="2" t="s">
        <v>23</v>
      </c>
      <c r="B32" s="6">
        <v>0.125</v>
      </c>
      <c r="C32" s="5">
        <v>4.4150000000000002E-2</v>
      </c>
    </row>
    <row r="33" spans="1:3" x14ac:dyDescent="0.2">
      <c r="A33" s="2" t="s">
        <v>1</v>
      </c>
      <c r="B33" s="6">
        <v>8.2000000000000003E-2</v>
      </c>
      <c r="C33" s="5">
        <v>5.1900000000000002E-2</v>
      </c>
    </row>
    <row r="34" spans="1:3" x14ac:dyDescent="0.2">
      <c r="A34" s="2" t="s">
        <v>19</v>
      </c>
      <c r="B34" s="6">
        <v>0.104</v>
      </c>
      <c r="C34" s="5">
        <v>2.6069999999999999E-2</v>
      </c>
    </row>
    <row r="35" spans="1:3" x14ac:dyDescent="0.2">
      <c r="A35" s="2" t="s">
        <v>25</v>
      </c>
      <c r="B35" s="6">
        <v>0.106</v>
      </c>
      <c r="C35" s="5">
        <v>3.1210000000000002E-2</v>
      </c>
    </row>
    <row r="36" spans="1:3" x14ac:dyDescent="0.2">
      <c r="A36" s="2" t="s">
        <v>20</v>
      </c>
      <c r="B36" s="6">
        <v>0.1</v>
      </c>
      <c r="C36" s="5">
        <v>5.7590000000000002E-2</v>
      </c>
    </row>
    <row r="37" spans="1:3" x14ac:dyDescent="0.2">
      <c r="A37" s="2" t="s">
        <v>24</v>
      </c>
      <c r="B37" s="6">
        <v>0.11799999999999999</v>
      </c>
      <c r="C37" s="5">
        <v>3.4549999999999997E-2</v>
      </c>
    </row>
    <row r="39" spans="1:3" x14ac:dyDescent="0.2">
      <c r="A39" s="41" t="s">
        <v>0</v>
      </c>
      <c r="B39" s="2" t="s">
        <v>57</v>
      </c>
    </row>
    <row r="40" spans="1:3" x14ac:dyDescent="0.2">
      <c r="A40" s="2" t="s">
        <v>21</v>
      </c>
      <c r="B40" s="6">
        <v>0.315</v>
      </c>
    </row>
    <row r="41" spans="1:3" x14ac:dyDescent="0.2">
      <c r="A41" s="2" t="s">
        <v>17</v>
      </c>
      <c r="B41" s="6">
        <v>0.33200000000000002</v>
      </c>
    </row>
    <row r="42" spans="1:3" x14ac:dyDescent="0.2">
      <c r="A42" s="2" t="s">
        <v>18</v>
      </c>
      <c r="B42" s="6">
        <v>0.373</v>
      </c>
    </row>
    <row r="43" spans="1:3" x14ac:dyDescent="0.2">
      <c r="A43" s="2" t="s">
        <v>22</v>
      </c>
      <c r="B43" s="6">
        <v>0.26800000000000002</v>
      </c>
    </row>
    <row r="44" spans="1:3" x14ac:dyDescent="0.2">
      <c r="A44" s="2" t="s">
        <v>16</v>
      </c>
      <c r="B44" s="6">
        <v>0.33900000000000002</v>
      </c>
    </row>
    <row r="45" spans="1:3" x14ac:dyDescent="0.2">
      <c r="A45" s="2" t="s">
        <v>15</v>
      </c>
      <c r="B45" s="6">
        <v>0.35099999999999998</v>
      </c>
    </row>
    <row r="46" spans="1:3" x14ac:dyDescent="0.2">
      <c r="A46" s="2" t="s">
        <v>10</v>
      </c>
      <c r="B46" s="6">
        <v>0.29799999999999999</v>
      </c>
    </row>
    <row r="47" spans="1:3" x14ac:dyDescent="0.2">
      <c r="A47" s="2" t="s">
        <v>26</v>
      </c>
      <c r="B47" s="6">
        <v>0.28799999999999998</v>
      </c>
    </row>
    <row r="48" spans="1:3" x14ac:dyDescent="0.2">
      <c r="A48" s="2" t="s">
        <v>27</v>
      </c>
      <c r="B48" s="6">
        <v>0.35599999999999998</v>
      </c>
    </row>
    <row r="49" spans="1:3" x14ac:dyDescent="0.2">
      <c r="A49" s="2" t="s">
        <v>23</v>
      </c>
      <c r="B49" s="6">
        <v>0.37</v>
      </c>
    </row>
    <row r="50" spans="1:3" x14ac:dyDescent="0.2">
      <c r="A50" s="2" t="s">
        <v>1</v>
      </c>
      <c r="B50" s="6">
        <v>0.313</v>
      </c>
    </row>
    <row r="51" spans="1:3" x14ac:dyDescent="0.2">
      <c r="A51" s="2" t="s">
        <v>19</v>
      </c>
      <c r="B51" s="6">
        <v>0.26400000000000001</v>
      </c>
    </row>
    <row r="52" spans="1:3" x14ac:dyDescent="0.2">
      <c r="A52" s="2" t="s">
        <v>25</v>
      </c>
      <c r="B52" s="6">
        <v>0.34799999999999998</v>
      </c>
    </row>
    <row r="53" spans="1:3" x14ac:dyDescent="0.2">
      <c r="A53" s="2" t="s">
        <v>20</v>
      </c>
      <c r="B53" s="6">
        <v>0.317</v>
      </c>
    </row>
    <row r="54" spans="1:3" x14ac:dyDescent="0.2">
      <c r="A54" s="2" t="s">
        <v>24</v>
      </c>
      <c r="B54" s="6">
        <v>0.34399999999999997</v>
      </c>
    </row>
    <row r="56" spans="1:3" x14ac:dyDescent="0.2">
      <c r="A56" s="41" t="s">
        <v>0</v>
      </c>
      <c r="B56" s="2" t="s">
        <v>58</v>
      </c>
      <c r="C56" s="2" t="s">
        <v>59</v>
      </c>
    </row>
    <row r="57" spans="1:3" x14ac:dyDescent="0.2">
      <c r="A57" s="2" t="s">
        <v>21</v>
      </c>
      <c r="B57" s="7">
        <v>109.35</v>
      </c>
      <c r="C57" s="5">
        <v>0.44500000000000001</v>
      </c>
    </row>
    <row r="58" spans="1:3" x14ac:dyDescent="0.2">
      <c r="A58" s="2" t="s">
        <v>17</v>
      </c>
      <c r="B58" s="7">
        <v>97.38</v>
      </c>
      <c r="C58" s="5">
        <v>0.42099999999999999</v>
      </c>
    </row>
    <row r="59" spans="1:3" x14ac:dyDescent="0.2">
      <c r="A59" s="2" t="s">
        <v>18</v>
      </c>
      <c r="B59" s="7">
        <v>89.06</v>
      </c>
      <c r="C59" s="5">
        <v>0.443</v>
      </c>
    </row>
    <row r="60" spans="1:3" x14ac:dyDescent="0.2">
      <c r="A60" s="2" t="s">
        <v>22</v>
      </c>
      <c r="B60" s="7">
        <v>126.13</v>
      </c>
      <c r="C60" s="5">
        <v>0.54</v>
      </c>
    </row>
    <row r="61" spans="1:3" x14ac:dyDescent="0.2">
      <c r="A61" s="2" t="s">
        <v>16</v>
      </c>
      <c r="B61" s="7">
        <v>93.48</v>
      </c>
      <c r="C61" s="5">
        <v>0.51</v>
      </c>
    </row>
    <row r="62" spans="1:3" x14ac:dyDescent="0.2">
      <c r="A62" s="2" t="s">
        <v>15</v>
      </c>
      <c r="B62" s="7">
        <v>95.21</v>
      </c>
      <c r="C62" s="5">
        <v>0.46200000000000002</v>
      </c>
    </row>
    <row r="63" spans="1:3" x14ac:dyDescent="0.2">
      <c r="A63" s="2" t="s">
        <v>10</v>
      </c>
      <c r="B63" s="7">
        <v>110.46</v>
      </c>
      <c r="C63" s="5">
        <v>0.50600000000000001</v>
      </c>
    </row>
    <row r="64" spans="1:3" x14ac:dyDescent="0.2">
      <c r="A64" s="2" t="s">
        <v>26</v>
      </c>
      <c r="B64" s="7">
        <v>111.04</v>
      </c>
      <c r="C64" s="5">
        <v>0.502</v>
      </c>
    </row>
    <row r="65" spans="1:6" x14ac:dyDescent="0.2">
      <c r="A65" s="2" t="s">
        <v>27</v>
      </c>
      <c r="B65" s="7">
        <v>92.49</v>
      </c>
      <c r="C65" s="5">
        <v>0.46</v>
      </c>
    </row>
    <row r="66" spans="1:6" x14ac:dyDescent="0.2">
      <c r="A66" s="2" t="s">
        <v>23</v>
      </c>
      <c r="B66" s="7">
        <v>93.14</v>
      </c>
      <c r="C66" s="5">
        <v>0.44800000000000001</v>
      </c>
    </row>
    <row r="67" spans="1:6" x14ac:dyDescent="0.2">
      <c r="A67" s="2" t="s">
        <v>1</v>
      </c>
      <c r="B67" s="7">
        <v>102.9</v>
      </c>
      <c r="C67" s="5">
        <v>0.47899999999999998</v>
      </c>
    </row>
    <row r="68" spans="1:6" x14ac:dyDescent="0.2">
      <c r="A68" s="2" t="s">
        <v>19</v>
      </c>
      <c r="B68" s="7">
        <v>112.39</v>
      </c>
      <c r="C68" s="5">
        <v>0.53</v>
      </c>
    </row>
    <row r="69" spans="1:6" x14ac:dyDescent="0.2">
      <c r="A69" s="2" t="s">
        <v>25</v>
      </c>
      <c r="B69" s="7">
        <v>102.85</v>
      </c>
      <c r="C69" s="5">
        <v>0.498</v>
      </c>
    </row>
    <row r="70" spans="1:6" x14ac:dyDescent="0.2">
      <c r="A70" s="2" t="s">
        <v>20</v>
      </c>
      <c r="B70" s="7">
        <v>118.07</v>
      </c>
      <c r="C70" s="5">
        <v>0.495</v>
      </c>
    </row>
    <row r="71" spans="1:6" x14ac:dyDescent="0.2">
      <c r="A71" s="2" t="s">
        <v>24</v>
      </c>
      <c r="B71" s="7">
        <v>92.44</v>
      </c>
      <c r="C71" s="5">
        <v>0.41599999999999998</v>
      </c>
    </row>
    <row r="73" spans="1:6" x14ac:dyDescent="0.2">
      <c r="A73" s="41" t="s">
        <v>0</v>
      </c>
      <c r="B73" s="2" t="s">
        <v>60</v>
      </c>
      <c r="C73"/>
      <c r="F73" s="2"/>
    </row>
    <row r="74" spans="1:6" x14ac:dyDescent="0.2">
      <c r="A74" s="2" t="s">
        <v>21</v>
      </c>
      <c r="B74" s="7">
        <v>322.3</v>
      </c>
      <c r="C74"/>
      <c r="F74" s="2"/>
    </row>
    <row r="75" spans="1:6" x14ac:dyDescent="0.2">
      <c r="A75" s="2" t="s">
        <v>17</v>
      </c>
      <c r="B75" s="7">
        <v>230.1</v>
      </c>
      <c r="C75"/>
      <c r="F75" s="2"/>
    </row>
    <row r="76" spans="1:6" x14ac:dyDescent="0.2">
      <c r="A76" s="2" t="s">
        <v>18</v>
      </c>
      <c r="B76" s="7">
        <v>193.9</v>
      </c>
      <c r="C76"/>
      <c r="F76" s="2"/>
    </row>
    <row r="77" spans="1:6" x14ac:dyDescent="0.2">
      <c r="A77" s="2" t="s">
        <v>22</v>
      </c>
      <c r="B77" s="7">
        <v>401.2</v>
      </c>
      <c r="C77"/>
      <c r="F77" s="2"/>
    </row>
    <row r="78" spans="1:6" x14ac:dyDescent="0.2">
      <c r="A78" s="2" t="s">
        <v>16</v>
      </c>
      <c r="B78" s="7">
        <v>304.2</v>
      </c>
      <c r="C78"/>
      <c r="F78" s="2"/>
    </row>
    <row r="79" spans="1:6" x14ac:dyDescent="0.2">
      <c r="A79" s="2" t="s">
        <v>15</v>
      </c>
      <c r="B79" s="7">
        <v>270</v>
      </c>
      <c r="C79"/>
      <c r="F79" s="2"/>
    </row>
    <row r="80" spans="1:6" x14ac:dyDescent="0.2">
      <c r="A80" s="2" t="s">
        <v>10</v>
      </c>
      <c r="B80" s="7">
        <v>317.89999999999998</v>
      </c>
      <c r="C80"/>
      <c r="F80" s="2"/>
    </row>
    <row r="81" spans="1:6" x14ac:dyDescent="0.2">
      <c r="A81" s="2" t="s">
        <v>26</v>
      </c>
      <c r="B81" s="7">
        <v>427.8</v>
      </c>
      <c r="C81"/>
      <c r="F81" s="2"/>
    </row>
    <row r="82" spans="1:6" x14ac:dyDescent="0.2">
      <c r="A82" s="2" t="s">
        <v>27</v>
      </c>
      <c r="B82" s="7">
        <v>244.3</v>
      </c>
      <c r="C82"/>
      <c r="F82" s="2"/>
    </row>
    <row r="83" spans="1:6" x14ac:dyDescent="0.2">
      <c r="A83" s="2" t="s">
        <v>23</v>
      </c>
      <c r="B83" s="7">
        <v>191.7</v>
      </c>
      <c r="C83"/>
      <c r="F83" s="2"/>
    </row>
    <row r="84" spans="1:6" x14ac:dyDescent="0.2">
      <c r="A84" s="2" t="s">
        <v>1</v>
      </c>
      <c r="B84" s="7">
        <v>314.10000000000002</v>
      </c>
      <c r="C84"/>
      <c r="F84" s="2"/>
    </row>
    <row r="85" spans="1:6" x14ac:dyDescent="0.2">
      <c r="A85" s="2" t="s">
        <v>19</v>
      </c>
      <c r="B85" s="7">
        <v>408.2</v>
      </c>
      <c r="C85"/>
      <c r="F85" s="2"/>
    </row>
    <row r="86" spans="1:6" x14ac:dyDescent="0.2">
      <c r="A86" s="2" t="s">
        <v>25</v>
      </c>
      <c r="B86" s="7">
        <v>505.6</v>
      </c>
      <c r="C86"/>
      <c r="F86" s="2"/>
    </row>
    <row r="87" spans="1:6" x14ac:dyDescent="0.2">
      <c r="A87" s="2" t="s">
        <v>20</v>
      </c>
      <c r="B87" s="7">
        <v>451</v>
      </c>
      <c r="C87"/>
      <c r="F87" s="2"/>
    </row>
    <row r="88" spans="1:6" x14ac:dyDescent="0.2">
      <c r="A88" s="2" t="s">
        <v>24</v>
      </c>
      <c r="B88" s="7">
        <v>203.2</v>
      </c>
      <c r="C88"/>
      <c r="F88" s="2"/>
    </row>
    <row r="90" spans="1:6" x14ac:dyDescent="0.2">
      <c r="A90" s="41" t="s">
        <v>0</v>
      </c>
      <c r="B90" s="2" t="s">
        <v>53</v>
      </c>
    </row>
    <row r="91" spans="1:6" x14ac:dyDescent="0.2">
      <c r="A91" s="2" t="s">
        <v>21</v>
      </c>
      <c r="B91" s="3">
        <v>9</v>
      </c>
    </row>
    <row r="92" spans="1:6" x14ac:dyDescent="0.2">
      <c r="A92" s="2" t="s">
        <v>17</v>
      </c>
      <c r="B92" s="3">
        <v>5</v>
      </c>
    </row>
    <row r="93" spans="1:6" x14ac:dyDescent="0.2">
      <c r="A93" s="2" t="s">
        <v>18</v>
      </c>
      <c r="B93" s="3">
        <v>6</v>
      </c>
    </row>
    <row r="94" spans="1:6" x14ac:dyDescent="0.2">
      <c r="A94" s="2" t="s">
        <v>22</v>
      </c>
      <c r="B94" s="3">
        <v>10</v>
      </c>
    </row>
    <row r="95" spans="1:6" x14ac:dyDescent="0.2">
      <c r="A95" s="2" t="s">
        <v>16</v>
      </c>
      <c r="B95" s="3">
        <v>4</v>
      </c>
    </row>
    <row r="96" spans="1:6" x14ac:dyDescent="0.2">
      <c r="A96" s="2" t="s">
        <v>15</v>
      </c>
      <c r="B96" s="3">
        <v>3</v>
      </c>
    </row>
    <row r="97" spans="1:2" x14ac:dyDescent="0.2">
      <c r="A97" s="2" t="s">
        <v>10</v>
      </c>
      <c r="B97" s="3">
        <v>2</v>
      </c>
    </row>
    <row r="98" spans="1:2" x14ac:dyDescent="0.2">
      <c r="A98" s="2" t="s">
        <v>26</v>
      </c>
      <c r="B98" s="3">
        <v>14</v>
      </c>
    </row>
    <row r="99" spans="1:2" x14ac:dyDescent="0.2">
      <c r="A99" s="2" t="s">
        <v>27</v>
      </c>
      <c r="B99" s="3">
        <v>15</v>
      </c>
    </row>
    <row r="100" spans="1:2" x14ac:dyDescent="0.2">
      <c r="A100" s="2" t="s">
        <v>23</v>
      </c>
      <c r="B100" s="3">
        <v>11</v>
      </c>
    </row>
    <row r="101" spans="1:2" x14ac:dyDescent="0.2">
      <c r="A101" s="2" t="s">
        <v>1</v>
      </c>
      <c r="B101" s="3">
        <v>1</v>
      </c>
    </row>
    <row r="102" spans="1:2" x14ac:dyDescent="0.2">
      <c r="A102" s="2" t="s">
        <v>19</v>
      </c>
      <c r="B102" s="3">
        <v>7</v>
      </c>
    </row>
    <row r="103" spans="1:2" x14ac:dyDescent="0.2">
      <c r="A103" s="2" t="s">
        <v>25</v>
      </c>
      <c r="B103" s="3">
        <v>13</v>
      </c>
    </row>
    <row r="104" spans="1:2" x14ac:dyDescent="0.2">
      <c r="A104" s="2" t="s">
        <v>20</v>
      </c>
      <c r="B104" s="3">
        <v>8</v>
      </c>
    </row>
    <row r="105" spans="1:2" x14ac:dyDescent="0.2">
      <c r="A105" s="2" t="s">
        <v>24</v>
      </c>
      <c r="B105" s="3">
        <v>12</v>
      </c>
    </row>
    <row r="107" spans="1:2" x14ac:dyDescent="0.2">
      <c r="A107" s="41" t="s">
        <v>0</v>
      </c>
      <c r="B107" s="2" t="s">
        <v>77</v>
      </c>
    </row>
    <row r="108" spans="1:2" x14ac:dyDescent="0.2">
      <c r="A108" s="2" t="s">
        <v>21</v>
      </c>
      <c r="B108" s="2">
        <v>38.9</v>
      </c>
    </row>
    <row r="109" spans="1:2" x14ac:dyDescent="0.2">
      <c r="A109" s="2" t="s">
        <v>17</v>
      </c>
      <c r="B109" s="2">
        <v>44.3</v>
      </c>
    </row>
    <row r="110" spans="1:2" x14ac:dyDescent="0.2">
      <c r="A110" s="2" t="s">
        <v>18</v>
      </c>
      <c r="B110" s="2">
        <v>37.6</v>
      </c>
    </row>
    <row r="111" spans="1:2" x14ac:dyDescent="0.2">
      <c r="A111" s="2" t="s">
        <v>22</v>
      </c>
      <c r="B111" s="2">
        <v>41.4</v>
      </c>
    </row>
    <row r="112" spans="1:2" x14ac:dyDescent="0.2">
      <c r="A112" s="2" t="s">
        <v>16</v>
      </c>
      <c r="B112" s="2">
        <v>38.299999999999997</v>
      </c>
    </row>
    <row r="113" spans="1:2" x14ac:dyDescent="0.2">
      <c r="A113" s="2" t="s">
        <v>15</v>
      </c>
      <c r="B113" s="2">
        <v>37</v>
      </c>
    </row>
    <row r="114" spans="1:2" x14ac:dyDescent="0.2">
      <c r="A114" s="2" t="s">
        <v>10</v>
      </c>
      <c r="B114" s="2">
        <v>38.9</v>
      </c>
    </row>
    <row r="115" spans="1:2" x14ac:dyDescent="0.2">
      <c r="A115" s="2" t="s">
        <v>26</v>
      </c>
      <c r="B115" s="2">
        <v>44.1</v>
      </c>
    </row>
    <row r="116" spans="1:2" x14ac:dyDescent="0.2">
      <c r="A116" s="2" t="s">
        <v>27</v>
      </c>
      <c r="B116" s="2">
        <v>37</v>
      </c>
    </row>
    <row r="117" spans="1:2" x14ac:dyDescent="0.2">
      <c r="A117" s="2" t="s">
        <v>23</v>
      </c>
      <c r="B117" s="2">
        <v>39.6</v>
      </c>
    </row>
    <row r="118" spans="1:2" x14ac:dyDescent="0.2">
      <c r="A118" s="2" t="s">
        <v>1</v>
      </c>
      <c r="B118" s="2">
        <v>51.2</v>
      </c>
    </row>
    <row r="119" spans="1:2" x14ac:dyDescent="0.2">
      <c r="A119" s="2" t="s">
        <v>19</v>
      </c>
      <c r="B119" s="2">
        <v>38.5</v>
      </c>
    </row>
    <row r="120" spans="1:2" x14ac:dyDescent="0.2">
      <c r="A120" s="2" t="s">
        <v>25</v>
      </c>
      <c r="B120" s="2">
        <v>45</v>
      </c>
    </row>
    <row r="121" spans="1:2" x14ac:dyDescent="0.2">
      <c r="A121" s="2" t="s">
        <v>20</v>
      </c>
      <c r="B121" s="2">
        <v>33.5</v>
      </c>
    </row>
    <row r="122" spans="1:2" x14ac:dyDescent="0.2">
      <c r="A122" s="2" t="s">
        <v>24</v>
      </c>
      <c r="B122" s="2">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696EC-0922-4D1C-A6EF-5143C2EC3136}">
  <sheetPr codeName="Sheet4"/>
  <dimension ref="A1:R33"/>
  <sheetViews>
    <sheetView workbookViewId="0"/>
  </sheetViews>
  <sheetFormatPr baseColWidth="10" defaultColWidth="9.33203125" defaultRowHeight="15" x14ac:dyDescent="0.2"/>
  <cols>
    <col min="1" max="1" width="13" bestFit="1" customWidth="1"/>
    <col min="2" max="2" width="12.6640625" bestFit="1" customWidth="1"/>
    <col min="3" max="3" width="15.1640625" bestFit="1" customWidth="1"/>
    <col min="4" max="4" width="18.1640625" bestFit="1" customWidth="1"/>
    <col min="5" max="5" width="18.5" bestFit="1" customWidth="1"/>
    <col min="6" max="6" width="14.6640625" bestFit="1" customWidth="1"/>
    <col min="7" max="7" width="18" bestFit="1" customWidth="1"/>
    <col min="8" max="8" width="18.6640625" bestFit="1" customWidth="1"/>
    <col min="9" max="9" width="20.5" bestFit="1" customWidth="1"/>
    <col min="10" max="11" width="16" bestFit="1" customWidth="1"/>
    <col min="12" max="12" width="18.6640625" bestFit="1" customWidth="1"/>
    <col min="13" max="13" width="18.83203125" bestFit="1" customWidth="1"/>
    <col min="14" max="14" width="28" bestFit="1" customWidth="1"/>
    <col min="15" max="15" width="32.5" bestFit="1" customWidth="1"/>
    <col min="16" max="16" width="14.83203125" bestFit="1" customWidth="1"/>
  </cols>
  <sheetData>
    <row r="1" spans="1:18" x14ac:dyDescent="0.2">
      <c r="A1" s="8" t="s">
        <v>11</v>
      </c>
      <c r="B1" s="8" t="s">
        <v>0</v>
      </c>
      <c r="C1" s="8" t="s">
        <v>12</v>
      </c>
      <c r="D1" s="8" t="s">
        <v>8</v>
      </c>
      <c r="E1" s="8" t="s">
        <v>9</v>
      </c>
      <c r="F1" s="8" t="s">
        <v>2</v>
      </c>
      <c r="G1" s="8" t="s">
        <v>3</v>
      </c>
      <c r="H1" s="8" t="s">
        <v>4</v>
      </c>
      <c r="I1" s="8" t="s">
        <v>37</v>
      </c>
      <c r="J1" s="8" t="s">
        <v>5</v>
      </c>
      <c r="K1" s="8" t="s">
        <v>6</v>
      </c>
      <c r="L1" s="8" t="s">
        <v>47</v>
      </c>
      <c r="M1" s="8" t="s">
        <v>7</v>
      </c>
      <c r="N1" s="8" t="s">
        <v>44</v>
      </c>
      <c r="O1" s="8" t="s">
        <v>45</v>
      </c>
      <c r="P1" s="8" t="s">
        <v>46</v>
      </c>
    </row>
    <row r="2" spans="1:18" x14ac:dyDescent="0.2">
      <c r="A2" s="3">
        <v>1</v>
      </c>
      <c r="B2" s="2" t="s">
        <v>1</v>
      </c>
      <c r="C2" s="2" t="s">
        <v>13</v>
      </c>
      <c r="D2" s="3">
        <v>84898</v>
      </c>
      <c r="E2" s="9">
        <v>273</v>
      </c>
      <c r="F2" s="3">
        <v>3417734</v>
      </c>
      <c r="G2" s="4">
        <v>40959</v>
      </c>
      <c r="H2" s="5">
        <v>3.6999999999999998E-2</v>
      </c>
      <c r="I2" s="5">
        <v>6.0000000000000001E-3</v>
      </c>
      <c r="J2" s="6">
        <v>0.313</v>
      </c>
      <c r="K2" s="6">
        <v>8.2000000000000003E-2</v>
      </c>
      <c r="L2" s="5">
        <v>0.47899999999999998</v>
      </c>
      <c r="M2" s="7">
        <v>51.2</v>
      </c>
      <c r="N2" s="7">
        <v>102.9</v>
      </c>
      <c r="O2" s="7">
        <v>314.10000000000002</v>
      </c>
      <c r="P2" s="5">
        <v>5.1900000000000002E-2</v>
      </c>
      <c r="R2" s="1"/>
    </row>
    <row r="3" spans="1:18" x14ac:dyDescent="0.2">
      <c r="A3" s="3">
        <v>2</v>
      </c>
      <c r="B3" s="2" t="s">
        <v>10</v>
      </c>
      <c r="C3" s="2" t="s">
        <v>14</v>
      </c>
      <c r="D3" s="3">
        <v>9350</v>
      </c>
      <c r="E3" s="9">
        <v>111</v>
      </c>
      <c r="F3" s="3">
        <v>1402054</v>
      </c>
      <c r="G3" s="4">
        <v>49617</v>
      </c>
      <c r="H3" s="5">
        <v>1.4999999999999999E-2</v>
      </c>
      <c r="I3" s="5">
        <v>7.0000000000000001E-3</v>
      </c>
      <c r="J3" s="6">
        <v>0.29799999999999999</v>
      </c>
      <c r="K3" s="6">
        <v>7.1999999999999995E-2</v>
      </c>
      <c r="L3" s="5">
        <v>0.50600000000000001</v>
      </c>
      <c r="M3" s="7">
        <v>38.9</v>
      </c>
      <c r="N3" s="7">
        <v>110.46</v>
      </c>
      <c r="O3" s="7">
        <v>317.89999999999998</v>
      </c>
      <c r="P3" s="5">
        <v>2.3439999999999999E-2</v>
      </c>
      <c r="R3" s="1"/>
    </row>
    <row r="4" spans="1:18" x14ac:dyDescent="0.2">
      <c r="A4" s="3">
        <v>3</v>
      </c>
      <c r="B4" s="2" t="s">
        <v>15</v>
      </c>
      <c r="C4" s="2" t="s">
        <v>28</v>
      </c>
      <c r="D4" s="3">
        <v>77347</v>
      </c>
      <c r="E4" s="9">
        <v>178</v>
      </c>
      <c r="F4" s="3">
        <v>1978379</v>
      </c>
      <c r="G4" s="4">
        <v>41403</v>
      </c>
      <c r="H4" s="5">
        <v>0.01</v>
      </c>
      <c r="I4" s="5">
        <v>0</v>
      </c>
      <c r="J4" s="6">
        <v>0.35099999999999998</v>
      </c>
      <c r="K4" s="6">
        <v>0.112</v>
      </c>
      <c r="L4" s="5">
        <v>0.46200000000000002</v>
      </c>
      <c r="M4" s="7">
        <v>37</v>
      </c>
      <c r="N4" s="7">
        <v>95.21</v>
      </c>
      <c r="O4" s="7">
        <v>270</v>
      </c>
      <c r="P4" s="5">
        <v>4.1520000000000001E-2</v>
      </c>
      <c r="R4" s="1"/>
    </row>
    <row r="5" spans="1:18" x14ac:dyDescent="0.2">
      <c r="A5" s="3">
        <v>4</v>
      </c>
      <c r="B5" s="2" t="s">
        <v>16</v>
      </c>
      <c r="C5" s="2" t="s">
        <v>29</v>
      </c>
      <c r="D5" s="3">
        <v>86943</v>
      </c>
      <c r="E5" s="9">
        <v>472</v>
      </c>
      <c r="F5" s="3">
        <v>5737915</v>
      </c>
      <c r="G5" s="4">
        <v>47393</v>
      </c>
      <c r="H5" s="5">
        <v>0.01</v>
      </c>
      <c r="I5" s="5">
        <v>-1E-3</v>
      </c>
      <c r="J5" s="6">
        <v>0.33900000000000002</v>
      </c>
      <c r="K5" s="6">
        <v>9.6000000000000002E-2</v>
      </c>
      <c r="L5" s="5">
        <v>0.51</v>
      </c>
      <c r="M5" s="7">
        <v>38.299999999999997</v>
      </c>
      <c r="N5" s="7">
        <v>93.48</v>
      </c>
      <c r="O5" s="7">
        <v>304.2</v>
      </c>
      <c r="P5" s="5">
        <v>4.5269999999999998E-2</v>
      </c>
      <c r="R5" s="1"/>
    </row>
    <row r="6" spans="1:18" x14ac:dyDescent="0.2">
      <c r="A6" s="3">
        <v>5</v>
      </c>
      <c r="B6" s="2" t="s">
        <v>17</v>
      </c>
      <c r="C6" s="2" t="s">
        <v>30</v>
      </c>
      <c r="D6" s="3">
        <v>83569</v>
      </c>
      <c r="E6" s="9">
        <v>119</v>
      </c>
      <c r="F6" s="3">
        <v>1964726</v>
      </c>
      <c r="G6" s="4">
        <v>37395</v>
      </c>
      <c r="H6" s="5">
        <v>3.1E-2</v>
      </c>
      <c r="I6" s="5">
        <v>1.7999999999999999E-2</v>
      </c>
      <c r="J6" s="6">
        <v>0.33200000000000002</v>
      </c>
      <c r="K6" s="6">
        <v>0.107</v>
      </c>
      <c r="L6" s="5">
        <v>0.42099999999999999</v>
      </c>
      <c r="M6" s="7">
        <v>44.3</v>
      </c>
      <c r="N6" s="7">
        <v>97.38</v>
      </c>
      <c r="O6" s="7">
        <v>230.1</v>
      </c>
      <c r="P6" s="5">
        <v>2.4660000000000001E-2</v>
      </c>
      <c r="R6" s="1"/>
    </row>
    <row r="7" spans="1:18" x14ac:dyDescent="0.2">
      <c r="A7" s="3">
        <v>6</v>
      </c>
      <c r="B7" s="2" t="s">
        <v>18</v>
      </c>
      <c r="C7" s="2" t="s">
        <v>31</v>
      </c>
      <c r="D7" s="3">
        <v>56273</v>
      </c>
      <c r="E7" s="9">
        <v>249</v>
      </c>
      <c r="F7" s="3">
        <v>3207004</v>
      </c>
      <c r="G7" s="4">
        <v>41625</v>
      </c>
      <c r="H7" s="5">
        <v>1.6E-2</v>
      </c>
      <c r="I7" s="5">
        <v>1E-3</v>
      </c>
      <c r="J7" s="6">
        <v>0.373</v>
      </c>
      <c r="K7" s="6">
        <v>0.126</v>
      </c>
      <c r="L7" s="5">
        <v>0.443</v>
      </c>
      <c r="M7" s="7">
        <v>37.6</v>
      </c>
      <c r="N7" s="7">
        <v>89.06</v>
      </c>
      <c r="O7" s="7">
        <v>193.9</v>
      </c>
      <c r="P7" s="5">
        <v>2.4660000000000001E-2</v>
      </c>
      <c r="R7" s="1"/>
    </row>
    <row r="8" spans="1:18" x14ac:dyDescent="0.2">
      <c r="A8" s="3">
        <v>7</v>
      </c>
      <c r="B8" s="2" t="s">
        <v>19</v>
      </c>
      <c r="C8" s="2" t="s">
        <v>32</v>
      </c>
      <c r="D8" s="3">
        <v>9615</v>
      </c>
      <c r="E8" s="9">
        <v>43</v>
      </c>
      <c r="F8" s="3">
        <v>647464</v>
      </c>
      <c r="G8" s="4">
        <v>42147</v>
      </c>
      <c r="H8" s="5">
        <v>2.3E-2</v>
      </c>
      <c r="I8" s="5">
        <v>5.0000000000000001E-3</v>
      </c>
      <c r="J8" s="6">
        <v>0.26400000000000001</v>
      </c>
      <c r="K8" s="6">
        <v>0.104</v>
      </c>
      <c r="L8" s="5">
        <v>0.53</v>
      </c>
      <c r="M8" s="7">
        <v>38.5</v>
      </c>
      <c r="N8" s="7">
        <v>112.39</v>
      </c>
      <c r="O8" s="7">
        <v>408.2</v>
      </c>
      <c r="P8" s="5">
        <v>2.6069999999999999E-2</v>
      </c>
      <c r="R8" s="1"/>
    </row>
    <row r="9" spans="1:18" x14ac:dyDescent="0.2">
      <c r="A9" s="3">
        <v>8</v>
      </c>
      <c r="B9" s="2" t="s">
        <v>20</v>
      </c>
      <c r="C9" s="2" t="s">
        <v>33</v>
      </c>
      <c r="D9" s="3">
        <v>71301</v>
      </c>
      <c r="E9" s="9">
        <v>802</v>
      </c>
      <c r="F9" s="3">
        <v>7812880</v>
      </c>
      <c r="G9" s="4">
        <v>51640</v>
      </c>
      <c r="H9" s="5">
        <v>2.7E-2</v>
      </c>
      <c r="I9" s="5">
        <v>2E-3</v>
      </c>
      <c r="J9" s="6">
        <v>0.317</v>
      </c>
      <c r="K9" s="6">
        <v>0.1</v>
      </c>
      <c r="L9" s="5">
        <v>0.495</v>
      </c>
      <c r="M9" s="7">
        <v>33.5</v>
      </c>
      <c r="N9" s="7">
        <v>118.07</v>
      </c>
      <c r="O9" s="7">
        <v>451</v>
      </c>
      <c r="P9" s="5">
        <v>5.7590000000000002E-2</v>
      </c>
      <c r="R9" s="1"/>
    </row>
    <row r="10" spans="1:18" x14ac:dyDescent="0.2">
      <c r="A10" s="3">
        <v>9</v>
      </c>
      <c r="B10" s="2" t="s">
        <v>21</v>
      </c>
      <c r="C10" s="2" t="s">
        <v>34</v>
      </c>
      <c r="D10" s="3">
        <v>71404</v>
      </c>
      <c r="E10" s="9">
        <v>1580</v>
      </c>
      <c r="F10" s="3">
        <v>22610726</v>
      </c>
      <c r="G10" s="4">
        <v>39920</v>
      </c>
      <c r="H10" s="5">
        <v>4.8000000000000001E-2</v>
      </c>
      <c r="I10" s="5">
        <v>1.7000000000000001E-2</v>
      </c>
      <c r="J10" s="6">
        <v>0.315</v>
      </c>
      <c r="K10" s="6">
        <v>0.127</v>
      </c>
      <c r="L10" s="5">
        <v>0.44500000000000001</v>
      </c>
      <c r="M10" s="7">
        <v>38.9</v>
      </c>
      <c r="N10" s="7">
        <v>109.35</v>
      </c>
      <c r="O10" s="7">
        <v>322.3</v>
      </c>
      <c r="P10" s="5">
        <v>3.9219999999999998E-2</v>
      </c>
      <c r="R10" s="1"/>
    </row>
    <row r="11" spans="1:18" x14ac:dyDescent="0.2">
      <c r="A11" s="3">
        <v>10</v>
      </c>
      <c r="B11" s="2" t="s">
        <v>22</v>
      </c>
      <c r="C11" s="2" t="s">
        <v>35</v>
      </c>
      <c r="D11" s="3">
        <v>10554</v>
      </c>
      <c r="E11" s="9">
        <v>734</v>
      </c>
      <c r="F11" s="3">
        <v>7001399</v>
      </c>
      <c r="G11" s="4">
        <v>52528</v>
      </c>
      <c r="H11" s="5">
        <v>2.1999999999999999E-2</v>
      </c>
      <c r="I11" s="5">
        <v>-1E-3</v>
      </c>
      <c r="J11" s="6">
        <v>0.26800000000000002</v>
      </c>
      <c r="K11" s="6">
        <v>0.104</v>
      </c>
      <c r="L11" s="5">
        <v>0.54</v>
      </c>
      <c r="M11" s="7">
        <v>41.4</v>
      </c>
      <c r="N11" s="7">
        <v>126.13</v>
      </c>
      <c r="O11" s="7">
        <v>401.2</v>
      </c>
      <c r="P11" s="5">
        <v>2.4150000000000001E-2</v>
      </c>
      <c r="R11" s="1"/>
    </row>
    <row r="12" spans="1:18" x14ac:dyDescent="0.2">
      <c r="A12" s="3">
        <v>11</v>
      </c>
      <c r="B12" s="2" t="s">
        <v>23</v>
      </c>
      <c r="C12" s="2" t="s">
        <v>39</v>
      </c>
      <c r="D12" s="3">
        <v>77116</v>
      </c>
      <c r="E12" s="9">
        <v>72</v>
      </c>
      <c r="F12" s="3">
        <v>919318</v>
      </c>
      <c r="G12" s="4">
        <v>40978</v>
      </c>
      <c r="H12" s="5">
        <v>1.9E-2</v>
      </c>
      <c r="I12" s="5">
        <v>8.9999999999999993E-3</v>
      </c>
      <c r="J12" s="6">
        <v>0.37</v>
      </c>
      <c r="K12" s="6">
        <v>0.125</v>
      </c>
      <c r="L12" s="5">
        <v>0.44800000000000001</v>
      </c>
      <c r="M12" s="7">
        <v>39.6</v>
      </c>
      <c r="N12" s="7">
        <v>93.14</v>
      </c>
      <c r="O12" s="7">
        <v>191.7</v>
      </c>
      <c r="P12" s="5">
        <v>4.4150000000000002E-2</v>
      </c>
      <c r="R12" s="1"/>
    </row>
    <row r="13" spans="1:18" x14ac:dyDescent="0.2">
      <c r="A13" s="3">
        <v>12</v>
      </c>
      <c r="B13" s="2" t="s">
        <v>24</v>
      </c>
      <c r="C13" s="2" t="s">
        <v>40</v>
      </c>
      <c r="D13" s="3">
        <v>97810</v>
      </c>
      <c r="E13" s="9">
        <v>50</v>
      </c>
      <c r="F13" s="3">
        <v>584057</v>
      </c>
      <c r="G13" s="4">
        <v>39954</v>
      </c>
      <c r="H13" s="5">
        <v>1.2E-2</v>
      </c>
      <c r="I13" s="5">
        <v>4.0000000000000001E-3</v>
      </c>
      <c r="J13" s="6">
        <v>0.34399999999999997</v>
      </c>
      <c r="K13" s="6">
        <v>0.11799999999999999</v>
      </c>
      <c r="L13" s="5">
        <v>0.41599999999999998</v>
      </c>
      <c r="M13" s="7">
        <v>45</v>
      </c>
      <c r="N13" s="7">
        <v>92.44</v>
      </c>
      <c r="O13" s="7">
        <v>203.2</v>
      </c>
      <c r="P13" s="5">
        <v>3.4549999999999997E-2</v>
      </c>
      <c r="R13" s="1"/>
    </row>
    <row r="14" spans="1:18" x14ac:dyDescent="0.2">
      <c r="A14" s="3">
        <v>13</v>
      </c>
      <c r="B14" s="2" t="s">
        <v>25</v>
      </c>
      <c r="C14" s="2" t="s">
        <v>41</v>
      </c>
      <c r="D14" s="3">
        <v>42775</v>
      </c>
      <c r="E14" s="9">
        <v>707</v>
      </c>
      <c r="F14" s="3">
        <v>8715698</v>
      </c>
      <c r="G14" s="4">
        <v>48178</v>
      </c>
      <c r="H14" s="5">
        <v>0.03</v>
      </c>
      <c r="I14" s="5">
        <v>2E-3</v>
      </c>
      <c r="J14" s="6">
        <v>0.34799999999999998</v>
      </c>
      <c r="K14" s="6">
        <v>0.106</v>
      </c>
      <c r="L14" s="5">
        <v>0.498</v>
      </c>
      <c r="M14" s="7">
        <v>45</v>
      </c>
      <c r="N14" s="7">
        <v>102.85</v>
      </c>
      <c r="O14" s="7">
        <v>505.6</v>
      </c>
      <c r="P14" s="5">
        <v>3.1210000000000002E-2</v>
      </c>
      <c r="R14" s="1"/>
    </row>
    <row r="15" spans="1:18" x14ac:dyDescent="0.2">
      <c r="A15" s="3">
        <v>14</v>
      </c>
      <c r="B15" s="2" t="s">
        <v>26</v>
      </c>
      <c r="C15" s="2" t="s">
        <v>42</v>
      </c>
      <c r="D15" s="3">
        <v>8719</v>
      </c>
      <c r="E15" s="9">
        <v>799</v>
      </c>
      <c r="F15" s="3">
        <v>9290841</v>
      </c>
      <c r="G15" s="4">
        <v>51884</v>
      </c>
      <c r="H15" s="5">
        <v>3.2000000000000001E-2</v>
      </c>
      <c r="I15" s="5">
        <v>-1E-3</v>
      </c>
      <c r="J15" s="6">
        <v>0.28799999999999998</v>
      </c>
      <c r="K15" s="6">
        <v>9.7000000000000003E-2</v>
      </c>
      <c r="L15" s="5">
        <v>0.502</v>
      </c>
      <c r="M15" s="7">
        <v>44.1</v>
      </c>
      <c r="N15" s="7">
        <v>111.04</v>
      </c>
      <c r="O15" s="7">
        <v>427.8</v>
      </c>
      <c r="P15" s="5">
        <v>2.512E-2</v>
      </c>
      <c r="R15" s="1"/>
    </row>
    <row r="16" spans="1:18" x14ac:dyDescent="0.2">
      <c r="A16" s="3">
        <v>15</v>
      </c>
      <c r="B16" s="2" t="s">
        <v>27</v>
      </c>
      <c r="C16" s="2" t="s">
        <v>43</v>
      </c>
      <c r="D16" s="3">
        <v>70699</v>
      </c>
      <c r="E16" s="9">
        <v>74</v>
      </c>
      <c r="F16" s="3">
        <v>783926</v>
      </c>
      <c r="G16" s="4">
        <v>42807</v>
      </c>
      <c r="H16" s="5">
        <v>1.7000000000000001E-2</v>
      </c>
      <c r="I16" s="5">
        <v>-1E-3</v>
      </c>
      <c r="J16" s="6">
        <v>0.35599999999999998</v>
      </c>
      <c r="K16" s="6">
        <v>0.115</v>
      </c>
      <c r="L16" s="5">
        <v>0.46</v>
      </c>
      <c r="M16" s="7">
        <v>37</v>
      </c>
      <c r="N16" s="7">
        <v>92.49</v>
      </c>
      <c r="O16" s="7">
        <v>244.3</v>
      </c>
      <c r="P16" s="5">
        <v>4.5769999999999998E-2</v>
      </c>
      <c r="R16" s="1"/>
    </row>
    <row r="19" spans="15:16" x14ac:dyDescent="0.2">
      <c r="O19" s="7"/>
      <c r="P19" s="1"/>
    </row>
    <row r="20" spans="15:16" x14ac:dyDescent="0.2">
      <c r="O20" s="7"/>
      <c r="P20" s="1"/>
    </row>
    <row r="21" spans="15:16" x14ac:dyDescent="0.2">
      <c r="O21" s="7"/>
      <c r="P21" s="1"/>
    </row>
    <row r="22" spans="15:16" x14ac:dyDescent="0.2">
      <c r="O22" s="7"/>
      <c r="P22" s="1"/>
    </row>
    <row r="23" spans="15:16" x14ac:dyDescent="0.2">
      <c r="O23" s="7"/>
      <c r="P23" s="1"/>
    </row>
    <row r="24" spans="15:16" x14ac:dyDescent="0.2">
      <c r="O24" s="7"/>
      <c r="P24" s="1"/>
    </row>
    <row r="25" spans="15:16" x14ac:dyDescent="0.2">
      <c r="O25" s="7"/>
      <c r="P25" s="1"/>
    </row>
    <row r="26" spans="15:16" x14ac:dyDescent="0.2">
      <c r="O26" s="7"/>
      <c r="P26" s="1"/>
    </row>
    <row r="27" spans="15:16" x14ac:dyDescent="0.2">
      <c r="O27" s="7"/>
      <c r="P27" s="1"/>
    </row>
    <row r="28" spans="15:16" x14ac:dyDescent="0.2">
      <c r="O28" s="7"/>
      <c r="P28" s="1"/>
    </row>
    <row r="29" spans="15:16" x14ac:dyDescent="0.2">
      <c r="O29" s="7"/>
      <c r="P29" s="1"/>
    </row>
    <row r="30" spans="15:16" x14ac:dyDescent="0.2">
      <c r="O30" s="7"/>
      <c r="P30" s="1"/>
    </row>
    <row r="31" spans="15:16" x14ac:dyDescent="0.2">
      <c r="O31" s="7"/>
      <c r="P31" s="1"/>
    </row>
    <row r="32" spans="15:16" x14ac:dyDescent="0.2">
      <c r="O32" s="7"/>
      <c r="P32" s="1"/>
    </row>
    <row r="33" spans="15:16" x14ac:dyDescent="0.2">
      <c r="O33" s="7"/>
      <c r="P33" s="1"/>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92DFA-F02C-9545-9934-8ED5FA6EA481}">
  <dimension ref="A2:J20"/>
  <sheetViews>
    <sheetView showGridLines="0" workbookViewId="0"/>
  </sheetViews>
  <sheetFormatPr baseColWidth="10" defaultColWidth="17" defaultRowHeight="15" x14ac:dyDescent="0.2"/>
  <cols>
    <col min="1" max="1" width="12.6640625" bestFit="1" customWidth="1"/>
    <col min="2" max="2" width="15.1640625" bestFit="1" customWidth="1"/>
    <col min="3" max="3" width="13" bestFit="1" customWidth="1"/>
    <col min="4" max="4" width="18.1640625" bestFit="1" customWidth="1"/>
    <col min="5" max="5" width="18.5" bestFit="1" customWidth="1"/>
    <col min="6" max="6" width="14.6640625" bestFit="1" customWidth="1"/>
    <col min="7" max="7" width="18.6640625" bestFit="1" customWidth="1"/>
    <col min="10" max="10" width="40.33203125" bestFit="1" customWidth="1"/>
  </cols>
  <sheetData>
    <row r="2" spans="1:10" ht="16" thickBot="1" x14ac:dyDescent="0.25">
      <c r="A2" s="10" t="s">
        <v>0</v>
      </c>
      <c r="B2" s="10" t="s">
        <v>12</v>
      </c>
      <c r="C2" s="14" t="s">
        <v>11</v>
      </c>
      <c r="D2" s="10" t="s">
        <v>8</v>
      </c>
      <c r="E2" s="10" t="s">
        <v>9</v>
      </c>
      <c r="F2" s="10" t="s">
        <v>2</v>
      </c>
      <c r="G2" s="10" t="s">
        <v>47</v>
      </c>
    </row>
    <row r="3" spans="1:10" ht="16" thickTop="1" x14ac:dyDescent="0.2">
      <c r="A3" s="11" t="s">
        <v>1</v>
      </c>
      <c r="B3" s="11" t="s">
        <v>13</v>
      </c>
      <c r="C3" s="15">
        <v>1</v>
      </c>
      <c r="D3" s="18">
        <v>84898</v>
      </c>
      <c r="E3" s="21">
        <v>273</v>
      </c>
      <c r="F3" s="18">
        <v>3417734</v>
      </c>
      <c r="G3" s="24">
        <v>0.47899999999999998</v>
      </c>
    </row>
    <row r="4" spans="1:10" x14ac:dyDescent="0.2">
      <c r="A4" s="12" t="s">
        <v>10</v>
      </c>
      <c r="B4" s="12" t="s">
        <v>14</v>
      </c>
      <c r="C4" s="16">
        <v>2</v>
      </c>
      <c r="D4" s="19">
        <v>9350</v>
      </c>
      <c r="E4" s="22">
        <v>111</v>
      </c>
      <c r="F4" s="19">
        <v>1402054</v>
      </c>
      <c r="G4" s="25">
        <v>0.50600000000000001</v>
      </c>
    </row>
    <row r="5" spans="1:10" x14ac:dyDescent="0.2">
      <c r="A5" s="11" t="s">
        <v>15</v>
      </c>
      <c r="B5" s="11" t="s">
        <v>28</v>
      </c>
      <c r="C5" s="15">
        <v>3</v>
      </c>
      <c r="D5" s="18">
        <v>77347</v>
      </c>
      <c r="E5" s="21">
        <v>178</v>
      </c>
      <c r="F5" s="18">
        <v>1978379</v>
      </c>
      <c r="G5" s="24">
        <v>0.46200000000000002</v>
      </c>
    </row>
    <row r="6" spans="1:10" x14ac:dyDescent="0.2">
      <c r="A6" s="12" t="s">
        <v>16</v>
      </c>
      <c r="B6" s="12" t="s">
        <v>29</v>
      </c>
      <c r="C6" s="16">
        <v>4</v>
      </c>
      <c r="D6" s="19">
        <v>86943</v>
      </c>
      <c r="E6" s="22">
        <v>472</v>
      </c>
      <c r="F6" s="19">
        <v>5737915</v>
      </c>
      <c r="G6" s="25">
        <v>0.51</v>
      </c>
    </row>
    <row r="7" spans="1:10" x14ac:dyDescent="0.2">
      <c r="A7" s="11" t="s">
        <v>17</v>
      </c>
      <c r="B7" s="11" t="s">
        <v>30</v>
      </c>
      <c r="C7" s="15">
        <v>5</v>
      </c>
      <c r="D7" s="18">
        <v>83569</v>
      </c>
      <c r="E7" s="21">
        <v>119</v>
      </c>
      <c r="F7" s="18">
        <v>1964726</v>
      </c>
      <c r="G7" s="24">
        <v>0.42099999999999999</v>
      </c>
    </row>
    <row r="8" spans="1:10" x14ac:dyDescent="0.2">
      <c r="A8" s="12" t="s">
        <v>18</v>
      </c>
      <c r="B8" s="12" t="s">
        <v>31</v>
      </c>
      <c r="C8" s="16">
        <v>6</v>
      </c>
      <c r="D8" s="19">
        <v>56273</v>
      </c>
      <c r="E8" s="22">
        <v>249</v>
      </c>
      <c r="F8" s="19">
        <v>3207004</v>
      </c>
      <c r="G8" s="25">
        <v>0.443</v>
      </c>
    </row>
    <row r="9" spans="1:10" x14ac:dyDescent="0.2">
      <c r="A9" s="11" t="s">
        <v>19</v>
      </c>
      <c r="B9" s="11" t="s">
        <v>32</v>
      </c>
      <c r="C9" s="15">
        <v>7</v>
      </c>
      <c r="D9" s="18">
        <v>9615</v>
      </c>
      <c r="E9" s="21">
        <v>43</v>
      </c>
      <c r="F9" s="18">
        <v>647464</v>
      </c>
      <c r="G9" s="24">
        <v>0.53</v>
      </c>
    </row>
    <row r="10" spans="1:10" x14ac:dyDescent="0.2">
      <c r="A10" s="12" t="s">
        <v>20</v>
      </c>
      <c r="B10" s="12" t="s">
        <v>33</v>
      </c>
      <c r="C10" s="16">
        <v>8</v>
      </c>
      <c r="D10" s="19">
        <v>71301</v>
      </c>
      <c r="E10" s="22">
        <v>802</v>
      </c>
      <c r="F10" s="19">
        <v>7812880</v>
      </c>
      <c r="G10" s="25">
        <v>0.495</v>
      </c>
    </row>
    <row r="11" spans="1:10" x14ac:dyDescent="0.2">
      <c r="A11" s="11" t="s">
        <v>21</v>
      </c>
      <c r="B11" s="11" t="s">
        <v>34</v>
      </c>
      <c r="C11" s="15">
        <v>9</v>
      </c>
      <c r="D11" s="18">
        <v>71404</v>
      </c>
      <c r="E11" s="21">
        <v>1580</v>
      </c>
      <c r="F11" s="18">
        <v>22610726</v>
      </c>
      <c r="G11" s="24">
        <v>0.44500000000000001</v>
      </c>
    </row>
    <row r="12" spans="1:10" x14ac:dyDescent="0.2">
      <c r="A12" s="12" t="s">
        <v>22</v>
      </c>
      <c r="B12" s="12" t="s">
        <v>35</v>
      </c>
      <c r="C12" s="16">
        <v>10</v>
      </c>
      <c r="D12" s="19">
        <v>10554</v>
      </c>
      <c r="E12" s="22">
        <v>734</v>
      </c>
      <c r="F12" s="19">
        <v>7001399</v>
      </c>
      <c r="G12" s="25">
        <v>0.54</v>
      </c>
    </row>
    <row r="13" spans="1:10" x14ac:dyDescent="0.2">
      <c r="A13" s="11" t="s">
        <v>23</v>
      </c>
      <c r="B13" s="11" t="s">
        <v>39</v>
      </c>
      <c r="C13" s="15">
        <v>11</v>
      </c>
      <c r="D13" s="18">
        <v>77116</v>
      </c>
      <c r="E13" s="21">
        <v>72</v>
      </c>
      <c r="F13" s="18">
        <v>919318</v>
      </c>
      <c r="G13" s="24">
        <v>0.44800000000000001</v>
      </c>
      <c r="J13" s="37"/>
    </row>
    <row r="14" spans="1:10" x14ac:dyDescent="0.2">
      <c r="A14" s="12" t="s">
        <v>24</v>
      </c>
      <c r="B14" s="12" t="s">
        <v>40</v>
      </c>
      <c r="C14" s="16">
        <v>12</v>
      </c>
      <c r="D14" s="19">
        <v>97810</v>
      </c>
      <c r="E14" s="22">
        <v>50</v>
      </c>
      <c r="F14" s="19">
        <v>584057</v>
      </c>
      <c r="G14" s="25">
        <v>0.41599999999999998</v>
      </c>
    </row>
    <row r="15" spans="1:10" x14ac:dyDescent="0.2">
      <c r="A15" s="11" t="s">
        <v>25</v>
      </c>
      <c r="B15" s="11" t="s">
        <v>41</v>
      </c>
      <c r="C15" s="15">
        <v>13</v>
      </c>
      <c r="D15" s="18">
        <v>42775</v>
      </c>
      <c r="E15" s="21">
        <v>707</v>
      </c>
      <c r="F15" s="18">
        <v>8715698</v>
      </c>
      <c r="G15" s="24">
        <v>0.498</v>
      </c>
    </row>
    <row r="16" spans="1:10" x14ac:dyDescent="0.2">
      <c r="A16" s="12" t="s">
        <v>26</v>
      </c>
      <c r="B16" s="12" t="s">
        <v>42</v>
      </c>
      <c r="C16" s="16">
        <v>14</v>
      </c>
      <c r="D16" s="19">
        <v>8719</v>
      </c>
      <c r="E16" s="22">
        <v>799</v>
      </c>
      <c r="F16" s="19">
        <v>9290841</v>
      </c>
      <c r="G16" s="25">
        <v>0.502</v>
      </c>
    </row>
    <row r="17" spans="1:7" x14ac:dyDescent="0.2">
      <c r="A17" s="13" t="s">
        <v>27</v>
      </c>
      <c r="B17" s="13" t="s">
        <v>43</v>
      </c>
      <c r="C17" s="17">
        <v>15</v>
      </c>
      <c r="D17" s="20">
        <v>70699</v>
      </c>
      <c r="E17" s="23">
        <v>74</v>
      </c>
      <c r="F17" s="20">
        <v>783926</v>
      </c>
      <c r="G17" s="26">
        <v>0.46</v>
      </c>
    </row>
    <row r="19" spans="1:7" x14ac:dyDescent="0.2">
      <c r="A19" t="s">
        <v>62</v>
      </c>
    </row>
    <row r="20" spans="1:7" x14ac:dyDescent="0.2">
      <c r="A20" s="37" t="s">
        <v>63</v>
      </c>
    </row>
  </sheetData>
  <autoFilter ref="A2:G2" xr:uid="{C5992DFA-F02C-9545-9934-8ED5FA6EA481}"/>
  <hyperlinks>
    <hyperlink ref="A20" r:id="rId1" xr:uid="{77AAC1CC-B2D5-3F4D-A1CF-61E538F1807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F36B6-A0BF-1A4E-A215-BD227429550D}">
  <dimension ref="A2:F20"/>
  <sheetViews>
    <sheetView showGridLines="0" workbookViewId="0"/>
  </sheetViews>
  <sheetFormatPr baseColWidth="10" defaultColWidth="10.6640625" defaultRowHeight="15" x14ac:dyDescent="0.2"/>
  <cols>
    <col min="1" max="1" width="12.6640625" bestFit="1" customWidth="1"/>
    <col min="2" max="2" width="18" bestFit="1" customWidth="1"/>
    <col min="3" max="3" width="18.6640625" bestFit="1" customWidth="1"/>
    <col min="4" max="4" width="20.5" bestFit="1" customWidth="1"/>
    <col min="5" max="6" width="16" bestFit="1" customWidth="1"/>
  </cols>
  <sheetData>
    <row r="2" spans="1:6" ht="16" thickBot="1" x14ac:dyDescent="0.25">
      <c r="A2" s="10" t="s">
        <v>0</v>
      </c>
      <c r="B2" s="10" t="s">
        <v>3</v>
      </c>
      <c r="C2" s="10" t="s">
        <v>4</v>
      </c>
      <c r="D2" s="10" t="s">
        <v>37</v>
      </c>
      <c r="E2" s="10" t="s">
        <v>5</v>
      </c>
      <c r="F2" s="10" t="s">
        <v>6</v>
      </c>
    </row>
    <row r="3" spans="1:6" ht="16" thickTop="1" x14ac:dyDescent="0.2">
      <c r="A3" s="11" t="s">
        <v>1</v>
      </c>
      <c r="B3" s="27">
        <v>40959</v>
      </c>
      <c r="C3" s="24">
        <v>3.6999999999999998E-2</v>
      </c>
      <c r="D3" s="24">
        <v>6.0000000000000001E-3</v>
      </c>
      <c r="E3" s="28">
        <v>0.313</v>
      </c>
      <c r="F3" s="28">
        <v>8.2000000000000003E-2</v>
      </c>
    </row>
    <row r="4" spans="1:6" x14ac:dyDescent="0.2">
      <c r="A4" s="12" t="s">
        <v>10</v>
      </c>
      <c r="B4" s="29">
        <v>49617</v>
      </c>
      <c r="C4" s="25">
        <v>1.4999999999999999E-2</v>
      </c>
      <c r="D4" s="25">
        <v>7.0000000000000001E-3</v>
      </c>
      <c r="E4" s="30">
        <v>0.29799999999999999</v>
      </c>
      <c r="F4" s="30">
        <v>7.1999999999999995E-2</v>
      </c>
    </row>
    <row r="5" spans="1:6" x14ac:dyDescent="0.2">
      <c r="A5" s="11" t="s">
        <v>15</v>
      </c>
      <c r="B5" s="27">
        <v>41403</v>
      </c>
      <c r="C5" s="24">
        <v>0.01</v>
      </c>
      <c r="D5" s="24">
        <v>0</v>
      </c>
      <c r="E5" s="28">
        <v>0.35099999999999998</v>
      </c>
      <c r="F5" s="28">
        <v>0.112</v>
      </c>
    </row>
    <row r="6" spans="1:6" x14ac:dyDescent="0.2">
      <c r="A6" s="12" t="s">
        <v>16</v>
      </c>
      <c r="B6" s="29">
        <v>47393</v>
      </c>
      <c r="C6" s="25">
        <v>0.01</v>
      </c>
      <c r="D6" s="25">
        <v>-1E-3</v>
      </c>
      <c r="E6" s="30">
        <v>0.33900000000000002</v>
      </c>
      <c r="F6" s="30">
        <v>9.6000000000000002E-2</v>
      </c>
    </row>
    <row r="7" spans="1:6" x14ac:dyDescent="0.2">
      <c r="A7" s="11" t="s">
        <v>17</v>
      </c>
      <c r="B7" s="27">
        <v>37395</v>
      </c>
      <c r="C7" s="24">
        <v>3.1E-2</v>
      </c>
      <c r="D7" s="24">
        <v>1.7999999999999999E-2</v>
      </c>
      <c r="E7" s="28">
        <v>0.33200000000000002</v>
      </c>
      <c r="F7" s="28">
        <v>0.107</v>
      </c>
    </row>
    <row r="8" spans="1:6" x14ac:dyDescent="0.2">
      <c r="A8" s="12" t="s">
        <v>18</v>
      </c>
      <c r="B8" s="29">
        <v>41625</v>
      </c>
      <c r="C8" s="25">
        <v>1.6E-2</v>
      </c>
      <c r="D8" s="25">
        <v>1E-3</v>
      </c>
      <c r="E8" s="30">
        <v>0.373</v>
      </c>
      <c r="F8" s="30">
        <v>0.126</v>
      </c>
    </row>
    <row r="9" spans="1:6" x14ac:dyDescent="0.2">
      <c r="A9" s="11" t="s">
        <v>19</v>
      </c>
      <c r="B9" s="27">
        <v>42147</v>
      </c>
      <c r="C9" s="24">
        <v>2.3E-2</v>
      </c>
      <c r="D9" s="24">
        <v>5.0000000000000001E-3</v>
      </c>
      <c r="E9" s="28">
        <v>0.26400000000000001</v>
      </c>
      <c r="F9" s="28">
        <v>0.104</v>
      </c>
    </row>
    <row r="10" spans="1:6" x14ac:dyDescent="0.2">
      <c r="A10" s="12" t="s">
        <v>20</v>
      </c>
      <c r="B10" s="29">
        <v>51640</v>
      </c>
      <c r="C10" s="25">
        <v>2.7E-2</v>
      </c>
      <c r="D10" s="25">
        <v>2E-3</v>
      </c>
      <c r="E10" s="30">
        <v>0.317</v>
      </c>
      <c r="F10" s="30">
        <v>0.1</v>
      </c>
    </row>
    <row r="11" spans="1:6" x14ac:dyDescent="0.2">
      <c r="A11" s="11" t="s">
        <v>21</v>
      </c>
      <c r="B11" s="27">
        <v>39920</v>
      </c>
      <c r="C11" s="24">
        <v>4.8000000000000001E-2</v>
      </c>
      <c r="D11" s="24">
        <v>1.7000000000000001E-2</v>
      </c>
      <c r="E11" s="28">
        <v>0.315</v>
      </c>
      <c r="F11" s="28">
        <v>0.127</v>
      </c>
    </row>
    <row r="12" spans="1:6" x14ac:dyDescent="0.2">
      <c r="A12" s="12" t="s">
        <v>22</v>
      </c>
      <c r="B12" s="29">
        <v>52528</v>
      </c>
      <c r="C12" s="25">
        <v>2.1999999999999999E-2</v>
      </c>
      <c r="D12" s="25">
        <v>-1E-3</v>
      </c>
      <c r="E12" s="30">
        <v>0.26800000000000002</v>
      </c>
      <c r="F12" s="30">
        <v>0.104</v>
      </c>
    </row>
    <row r="13" spans="1:6" x14ac:dyDescent="0.2">
      <c r="A13" s="11" t="s">
        <v>23</v>
      </c>
      <c r="B13" s="27">
        <v>919318</v>
      </c>
      <c r="C13" s="24">
        <v>1.9E-2</v>
      </c>
      <c r="D13" s="24">
        <v>8.9999999999999993E-3</v>
      </c>
      <c r="E13" s="28">
        <v>0.37</v>
      </c>
      <c r="F13" s="28">
        <v>0.125</v>
      </c>
    </row>
    <row r="14" spans="1:6" x14ac:dyDescent="0.2">
      <c r="A14" s="12" t="s">
        <v>24</v>
      </c>
      <c r="B14" s="29">
        <v>39954</v>
      </c>
      <c r="C14" s="25">
        <v>1.2E-2</v>
      </c>
      <c r="D14" s="25">
        <v>4.0000000000000001E-3</v>
      </c>
      <c r="E14" s="30">
        <v>0.34399999999999997</v>
      </c>
      <c r="F14" s="30">
        <v>0.11799999999999999</v>
      </c>
    </row>
    <row r="15" spans="1:6" x14ac:dyDescent="0.2">
      <c r="A15" s="11" t="s">
        <v>25</v>
      </c>
      <c r="B15" s="27">
        <v>48178</v>
      </c>
      <c r="C15" s="24">
        <v>0.03</v>
      </c>
      <c r="D15" s="24">
        <v>2E-3</v>
      </c>
      <c r="E15" s="28">
        <v>0.34799999999999998</v>
      </c>
      <c r="F15" s="28">
        <v>0.106</v>
      </c>
    </row>
    <row r="16" spans="1:6" x14ac:dyDescent="0.2">
      <c r="A16" s="12" t="s">
        <v>26</v>
      </c>
      <c r="B16" s="29">
        <v>51884</v>
      </c>
      <c r="C16" s="25">
        <v>3.2000000000000001E-2</v>
      </c>
      <c r="D16" s="25">
        <v>-1E-3</v>
      </c>
      <c r="E16" s="30">
        <v>0.28799999999999998</v>
      </c>
      <c r="F16" s="30">
        <v>9.7000000000000003E-2</v>
      </c>
    </row>
    <row r="17" spans="1:6" x14ac:dyDescent="0.2">
      <c r="A17" s="13" t="s">
        <v>27</v>
      </c>
      <c r="B17" s="31">
        <v>42807</v>
      </c>
      <c r="C17" s="26">
        <v>1.7000000000000001E-2</v>
      </c>
      <c r="D17" s="26">
        <v>-1E-3</v>
      </c>
      <c r="E17" s="32">
        <v>0.35599999999999998</v>
      </c>
      <c r="F17" s="32">
        <v>0.115</v>
      </c>
    </row>
    <row r="19" spans="1:6" x14ac:dyDescent="0.2">
      <c r="A19" t="s">
        <v>62</v>
      </c>
    </row>
    <row r="20" spans="1:6" x14ac:dyDescent="0.2">
      <c r="A20" s="37" t="s">
        <v>63</v>
      </c>
    </row>
  </sheetData>
  <autoFilter ref="A2:F2" xr:uid="{28CF36B6-A0BF-1A4E-A215-BD227429550D}"/>
  <hyperlinks>
    <hyperlink ref="A20" r:id="rId1" xr:uid="{E4DEEE99-FFD4-9847-A68E-F7438B6E09F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49A1F-A443-A142-9BFF-612DB716FD45}">
  <dimension ref="A2:B20"/>
  <sheetViews>
    <sheetView showGridLines="0" workbookViewId="0">
      <selection activeCell="B13" sqref="B13"/>
    </sheetView>
  </sheetViews>
  <sheetFormatPr baseColWidth="10" defaultColWidth="10.6640625" defaultRowHeight="15" x14ac:dyDescent="0.2"/>
  <cols>
    <col min="1" max="1" width="12.6640625" bestFit="1" customWidth="1"/>
    <col min="2" max="2" width="18.5" customWidth="1"/>
  </cols>
  <sheetData>
    <row r="2" spans="1:2" ht="16" thickBot="1" x14ac:dyDescent="0.25">
      <c r="A2" s="10" t="s">
        <v>0</v>
      </c>
      <c r="B2" s="10" t="s">
        <v>7</v>
      </c>
    </row>
    <row r="3" spans="1:2" ht="16" thickTop="1" x14ac:dyDescent="0.2">
      <c r="A3" s="11" t="s">
        <v>1</v>
      </c>
      <c r="B3" s="33">
        <v>51.2</v>
      </c>
    </row>
    <row r="4" spans="1:2" x14ac:dyDescent="0.2">
      <c r="A4" s="12" t="s">
        <v>10</v>
      </c>
      <c r="B4" s="34">
        <v>38.9</v>
      </c>
    </row>
    <row r="5" spans="1:2" x14ac:dyDescent="0.2">
      <c r="A5" s="11" t="s">
        <v>15</v>
      </c>
      <c r="B5" s="33">
        <v>37</v>
      </c>
    </row>
    <row r="6" spans="1:2" x14ac:dyDescent="0.2">
      <c r="A6" s="12" t="s">
        <v>16</v>
      </c>
      <c r="B6" s="34">
        <v>38.299999999999997</v>
      </c>
    </row>
    <row r="7" spans="1:2" x14ac:dyDescent="0.2">
      <c r="A7" s="11" t="s">
        <v>17</v>
      </c>
      <c r="B7" s="33">
        <v>44.3</v>
      </c>
    </row>
    <row r="8" spans="1:2" x14ac:dyDescent="0.2">
      <c r="A8" s="12" t="s">
        <v>18</v>
      </c>
      <c r="B8" s="34">
        <v>37.6</v>
      </c>
    </row>
    <row r="9" spans="1:2" x14ac:dyDescent="0.2">
      <c r="A9" s="11" t="s">
        <v>19</v>
      </c>
      <c r="B9" s="33">
        <v>38.5</v>
      </c>
    </row>
    <row r="10" spans="1:2" x14ac:dyDescent="0.2">
      <c r="A10" s="12" t="s">
        <v>20</v>
      </c>
      <c r="B10" s="34" t="s">
        <v>36</v>
      </c>
    </row>
    <row r="11" spans="1:2" x14ac:dyDescent="0.2">
      <c r="A11" s="11" t="s">
        <v>21</v>
      </c>
      <c r="B11" s="33">
        <v>38.9</v>
      </c>
    </row>
    <row r="12" spans="1:2" x14ac:dyDescent="0.2">
      <c r="A12" s="12" t="s">
        <v>22</v>
      </c>
      <c r="B12" s="34">
        <v>41.4</v>
      </c>
    </row>
    <row r="13" spans="1:2" x14ac:dyDescent="0.2">
      <c r="A13" s="11" t="s">
        <v>23</v>
      </c>
      <c r="B13" s="33">
        <v>39.6</v>
      </c>
    </row>
    <row r="14" spans="1:2" x14ac:dyDescent="0.2">
      <c r="A14" s="12" t="s">
        <v>24</v>
      </c>
      <c r="B14" s="34" t="s">
        <v>38</v>
      </c>
    </row>
    <row r="15" spans="1:2" x14ac:dyDescent="0.2">
      <c r="A15" s="11" t="s">
        <v>25</v>
      </c>
      <c r="B15" s="33">
        <v>45</v>
      </c>
    </row>
    <row r="16" spans="1:2" x14ac:dyDescent="0.2">
      <c r="A16" s="12" t="s">
        <v>26</v>
      </c>
      <c r="B16" s="34">
        <v>44.1</v>
      </c>
    </row>
    <row r="17" spans="1:2" x14ac:dyDescent="0.2">
      <c r="A17" s="13" t="s">
        <v>27</v>
      </c>
      <c r="B17" s="35">
        <v>37</v>
      </c>
    </row>
    <row r="19" spans="1:2" x14ac:dyDescent="0.2">
      <c r="A19" t="s">
        <v>64</v>
      </c>
    </row>
    <row r="20" spans="1:2" x14ac:dyDescent="0.2">
      <c r="A20" s="37" t="s">
        <v>65</v>
      </c>
    </row>
  </sheetData>
  <autoFilter ref="A2:B2" xr:uid="{12D49A1F-A443-A142-9BFF-612DB716FD45}"/>
  <hyperlinks>
    <hyperlink ref="A20" r:id="rId1" xr:uid="{85FD39B2-FDC5-2040-9207-594C1D59E2DC}"/>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B94CB-E89B-FE44-95D3-32D54A21184A}">
  <dimension ref="A2:B20"/>
  <sheetViews>
    <sheetView showGridLines="0" workbookViewId="0"/>
  </sheetViews>
  <sheetFormatPr baseColWidth="10" defaultColWidth="10.6640625" defaultRowHeight="15" x14ac:dyDescent="0.2"/>
  <cols>
    <col min="1" max="1" width="12.6640625" bestFit="1" customWidth="1"/>
    <col min="2" max="2" width="14.83203125" bestFit="1" customWidth="1"/>
  </cols>
  <sheetData>
    <row r="2" spans="1:2" ht="16" thickBot="1" x14ac:dyDescent="0.25">
      <c r="A2" s="10" t="s">
        <v>0</v>
      </c>
      <c r="B2" s="36" t="s">
        <v>46</v>
      </c>
    </row>
    <row r="3" spans="1:2" ht="16" thickTop="1" x14ac:dyDescent="0.2">
      <c r="A3" s="11" t="s">
        <v>1</v>
      </c>
      <c r="B3" s="38">
        <v>5.1900000000000002E-2</v>
      </c>
    </row>
    <row r="4" spans="1:2" x14ac:dyDescent="0.2">
      <c r="A4" s="12" t="s">
        <v>10</v>
      </c>
      <c r="B4" s="39">
        <v>2.3439999999999999E-2</v>
      </c>
    </row>
    <row r="5" spans="1:2" x14ac:dyDescent="0.2">
      <c r="A5" s="11" t="s">
        <v>15</v>
      </c>
      <c r="B5" s="38">
        <v>4.1520000000000001E-2</v>
      </c>
    </row>
    <row r="6" spans="1:2" x14ac:dyDescent="0.2">
      <c r="A6" s="12" t="s">
        <v>16</v>
      </c>
      <c r="B6" s="39">
        <v>4.5269999999999998E-2</v>
      </c>
    </row>
    <row r="7" spans="1:2" x14ac:dyDescent="0.2">
      <c r="A7" s="11" t="s">
        <v>17</v>
      </c>
      <c r="B7" s="38">
        <v>2.4660000000000001E-2</v>
      </c>
    </row>
    <row r="8" spans="1:2" x14ac:dyDescent="0.2">
      <c r="A8" s="12" t="s">
        <v>18</v>
      </c>
      <c r="B8" s="39">
        <v>2.4660000000000001E-2</v>
      </c>
    </row>
    <row r="9" spans="1:2" x14ac:dyDescent="0.2">
      <c r="A9" s="11" t="s">
        <v>19</v>
      </c>
      <c r="B9" s="38">
        <v>2.6069999999999999E-2</v>
      </c>
    </row>
    <row r="10" spans="1:2" x14ac:dyDescent="0.2">
      <c r="A10" s="12" t="s">
        <v>20</v>
      </c>
      <c r="B10" s="39">
        <v>5.7590000000000002E-2</v>
      </c>
    </row>
    <row r="11" spans="1:2" x14ac:dyDescent="0.2">
      <c r="A11" s="11" t="s">
        <v>21</v>
      </c>
      <c r="B11" s="38">
        <v>3.9219999999999998E-2</v>
      </c>
    </row>
    <row r="12" spans="1:2" x14ac:dyDescent="0.2">
      <c r="A12" s="12" t="s">
        <v>22</v>
      </c>
      <c r="B12" s="39">
        <v>2.4150000000000001E-2</v>
      </c>
    </row>
    <row r="13" spans="1:2" x14ac:dyDescent="0.2">
      <c r="A13" s="11" t="s">
        <v>23</v>
      </c>
      <c r="B13" s="38">
        <v>4.4150000000000002E-2</v>
      </c>
    </row>
    <row r="14" spans="1:2" x14ac:dyDescent="0.2">
      <c r="A14" s="12" t="s">
        <v>24</v>
      </c>
      <c r="B14" s="39">
        <v>3.4549999999999997E-2</v>
      </c>
    </row>
    <row r="15" spans="1:2" x14ac:dyDescent="0.2">
      <c r="A15" s="11" t="s">
        <v>25</v>
      </c>
      <c r="B15" s="38">
        <v>3.1210000000000002E-2</v>
      </c>
    </row>
    <row r="16" spans="1:2" x14ac:dyDescent="0.2">
      <c r="A16" s="12" t="s">
        <v>26</v>
      </c>
      <c r="B16" s="39">
        <v>2.512E-2</v>
      </c>
    </row>
    <row r="17" spans="1:2" x14ac:dyDescent="0.2">
      <c r="A17" s="13" t="s">
        <v>27</v>
      </c>
      <c r="B17" s="40">
        <v>4.5769999999999998E-2</v>
      </c>
    </row>
    <row r="19" spans="1:2" x14ac:dyDescent="0.2">
      <c r="A19" t="s">
        <v>64</v>
      </c>
    </row>
    <row r="20" spans="1:2" x14ac:dyDescent="0.2">
      <c r="A20" s="37" t="s">
        <v>66</v>
      </c>
    </row>
  </sheetData>
  <autoFilter ref="A2:B3" xr:uid="{0AEB94CB-E89B-FE44-95D3-32D54A21184A}"/>
  <hyperlinks>
    <hyperlink ref="A20" r:id="rId1" xr:uid="{DF9C41DA-770C-DE49-B455-27A5F1C4F7B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C72A4-6761-F541-BCAA-4454F3F89AA0}">
  <dimension ref="A2:C20"/>
  <sheetViews>
    <sheetView showGridLines="0" workbookViewId="0"/>
  </sheetViews>
  <sheetFormatPr baseColWidth="10" defaultColWidth="10.6640625" defaultRowHeight="15" x14ac:dyDescent="0.2"/>
  <cols>
    <col min="1" max="1" width="12.6640625" bestFit="1" customWidth="1"/>
    <col min="2" max="2" width="28" bestFit="1" customWidth="1"/>
    <col min="3" max="3" width="32.5" bestFit="1" customWidth="1"/>
  </cols>
  <sheetData>
    <row r="2" spans="1:3" ht="16" thickBot="1" x14ac:dyDescent="0.25">
      <c r="A2" s="10" t="s">
        <v>0</v>
      </c>
      <c r="B2" s="10" t="s">
        <v>44</v>
      </c>
      <c r="C2" s="10" t="s">
        <v>45</v>
      </c>
    </row>
    <row r="3" spans="1:3" ht="16" thickTop="1" x14ac:dyDescent="0.2">
      <c r="A3" s="11" t="s">
        <v>1</v>
      </c>
      <c r="B3" s="33">
        <v>102.9</v>
      </c>
      <c r="C3" s="33">
        <v>314.10000000000002</v>
      </c>
    </row>
    <row r="4" spans="1:3" x14ac:dyDescent="0.2">
      <c r="A4" s="12" t="s">
        <v>10</v>
      </c>
      <c r="B4" s="34">
        <v>110.46</v>
      </c>
      <c r="C4" s="34">
        <v>317.89999999999998</v>
      </c>
    </row>
    <row r="5" spans="1:3" x14ac:dyDescent="0.2">
      <c r="A5" s="11" t="s">
        <v>15</v>
      </c>
      <c r="B5" s="33">
        <v>95.21</v>
      </c>
      <c r="C5" s="33">
        <v>270</v>
      </c>
    </row>
    <row r="6" spans="1:3" x14ac:dyDescent="0.2">
      <c r="A6" s="12" t="s">
        <v>16</v>
      </c>
      <c r="B6" s="34">
        <v>93.48</v>
      </c>
      <c r="C6" s="34">
        <v>304.2</v>
      </c>
    </row>
    <row r="7" spans="1:3" x14ac:dyDescent="0.2">
      <c r="A7" s="11" t="s">
        <v>17</v>
      </c>
      <c r="B7" s="33">
        <v>97.38</v>
      </c>
      <c r="C7" s="33">
        <v>230.1</v>
      </c>
    </row>
    <row r="8" spans="1:3" x14ac:dyDescent="0.2">
      <c r="A8" s="12" t="s">
        <v>18</v>
      </c>
      <c r="B8" s="34">
        <v>89.06</v>
      </c>
      <c r="C8" s="34">
        <v>193.9</v>
      </c>
    </row>
    <row r="9" spans="1:3" x14ac:dyDescent="0.2">
      <c r="A9" s="11" t="s">
        <v>19</v>
      </c>
      <c r="B9" s="33">
        <v>112.39</v>
      </c>
      <c r="C9" s="33">
        <v>408.2</v>
      </c>
    </row>
    <row r="10" spans="1:3" x14ac:dyDescent="0.2">
      <c r="A10" s="12" t="s">
        <v>20</v>
      </c>
      <c r="B10" s="34">
        <v>118.07</v>
      </c>
      <c r="C10" s="34">
        <v>451</v>
      </c>
    </row>
    <row r="11" spans="1:3" x14ac:dyDescent="0.2">
      <c r="A11" s="11" t="s">
        <v>21</v>
      </c>
      <c r="B11" s="33">
        <v>109.35</v>
      </c>
      <c r="C11" s="33">
        <v>322.3</v>
      </c>
    </row>
    <row r="12" spans="1:3" x14ac:dyDescent="0.2">
      <c r="A12" s="12" t="s">
        <v>22</v>
      </c>
      <c r="B12" s="34">
        <v>126.13</v>
      </c>
      <c r="C12" s="34">
        <v>401.2</v>
      </c>
    </row>
    <row r="13" spans="1:3" x14ac:dyDescent="0.2">
      <c r="A13" s="11" t="s">
        <v>23</v>
      </c>
      <c r="B13" s="33">
        <v>93.14</v>
      </c>
      <c r="C13" s="33">
        <v>191.7</v>
      </c>
    </row>
    <row r="14" spans="1:3" x14ac:dyDescent="0.2">
      <c r="A14" s="12" t="s">
        <v>24</v>
      </c>
      <c r="B14" s="34">
        <v>92.44</v>
      </c>
      <c r="C14" s="34">
        <v>203.2</v>
      </c>
    </row>
    <row r="15" spans="1:3" x14ac:dyDescent="0.2">
      <c r="A15" s="11" t="s">
        <v>25</v>
      </c>
      <c r="B15" s="33">
        <v>102.85</v>
      </c>
      <c r="C15" s="33">
        <v>505.6</v>
      </c>
    </row>
    <row r="16" spans="1:3" x14ac:dyDescent="0.2">
      <c r="A16" s="12" t="s">
        <v>26</v>
      </c>
      <c r="B16" s="34">
        <v>111.04</v>
      </c>
      <c r="C16" s="34">
        <v>427.8</v>
      </c>
    </row>
    <row r="17" spans="1:3" x14ac:dyDescent="0.2">
      <c r="A17" s="13" t="s">
        <v>27</v>
      </c>
      <c r="B17" s="35">
        <v>92.49</v>
      </c>
      <c r="C17" s="35">
        <v>244.3</v>
      </c>
    </row>
    <row r="19" spans="1:3" x14ac:dyDescent="0.2">
      <c r="A19" t="s">
        <v>67</v>
      </c>
    </row>
    <row r="20" spans="1:3" x14ac:dyDescent="0.2">
      <c r="A20" s="37" t="s">
        <v>68</v>
      </c>
    </row>
  </sheetData>
  <autoFilter ref="A2:C2" xr:uid="{113C72A4-6761-F541-BCAA-4454F3F89AA0}"/>
  <hyperlinks>
    <hyperlink ref="A20" r:id="rId1" xr:uid="{4E8A77D8-B986-1A45-AAEC-A902EC82469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Dashboard</vt:lpstr>
      <vt:lpstr>Information</vt:lpstr>
      <vt:lpstr>Analyse</vt:lpstr>
      <vt:lpstr>Consolidated Data Set</vt:lpstr>
      <vt:lpstr>Data Set 1</vt:lpstr>
      <vt:lpstr>Data Set 2</vt:lpstr>
      <vt:lpstr>Data Set 3</vt:lpstr>
      <vt:lpstr>Data Set 4</vt:lpstr>
      <vt:lpstr>Data Set 5</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vineet saddi</dc:creator>
  <cp:lastModifiedBy>Rohith Reddy Kolanu</cp:lastModifiedBy>
  <dcterms:created xsi:type="dcterms:W3CDTF">2024-11-30T17:16:47Z</dcterms:created>
  <dcterms:modified xsi:type="dcterms:W3CDTF">2025-12-08T17:52:54Z</dcterms:modified>
</cp:coreProperties>
</file>