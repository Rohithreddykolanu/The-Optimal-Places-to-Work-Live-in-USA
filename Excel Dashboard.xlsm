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rohithreddy/Documents/Projects/The Optimal Places to Work &amp; Live in USA/"/>
    </mc:Choice>
  </mc:AlternateContent>
  <xr:revisionPtr revIDLastSave="0" documentId="13_ncr:1_{617901FC-498C-D340-B2D9-ED0692D86537}" xr6:coauthVersionLast="47" xr6:coauthVersionMax="47" xr10:uidLastSave="{00000000-0000-0000-0000-000000000000}"/>
  <bookViews>
    <workbookView showSheetTabs="0" xWindow="0" yWindow="660" windowWidth="30240" windowHeight="18980" xr2:uid="{5CB80781-BAE1-4306-87BE-C169E45ED19B}"/>
  </bookViews>
  <sheets>
    <sheet name="Dashboard" sheetId="1" r:id="rId1"/>
    <sheet name="Information" sheetId="12" r:id="rId2"/>
    <sheet name="Analyse" sheetId="11" r:id="rId3"/>
    <sheet name="Consolidated Data Set" sheetId="2" r:id="rId4"/>
    <sheet name="Data Set 1" sheetId="13" r:id="rId5"/>
    <sheet name="Data Set 2" sheetId="14" r:id="rId6"/>
    <sheet name="Data Set 3" sheetId="16" r:id="rId7"/>
    <sheet name="Data Set 4" sheetId="17" r:id="rId8"/>
    <sheet name="Data Set 5" sheetId="18" r:id="rId9"/>
  </sheets>
  <definedNames>
    <definedName name="_xlnm._FilterDatabase" localSheetId="4" hidden="1">'Data Set 1'!$A$2:$G$2</definedName>
    <definedName name="_xlnm._FilterDatabase" localSheetId="5" hidden="1">'Data Set 2'!$A$2:$F$2</definedName>
    <definedName name="_xlnm._FilterDatabase" localSheetId="6" hidden="1">'Data Set 3'!$A$2:$B$2</definedName>
    <definedName name="_xlnm._FilterDatabase" localSheetId="7" hidden="1">'Data Set 4'!$A$2:$B$3</definedName>
    <definedName name="_xlnm._FilterDatabase" localSheetId="8" hidden="1">'Data Set 5'!$A$2:$C$2</definedName>
    <definedName name="Slicer_Stat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8" i="1" l="1"/>
  <c r="I38" i="1"/>
  <c r="G38" i="1"/>
  <c r="H38" i="1"/>
  <c r="E38" i="1"/>
</calcChain>
</file>

<file path=xl/sharedStrings.xml><?xml version="1.0" encoding="utf-8"?>
<sst xmlns="http://schemas.openxmlformats.org/spreadsheetml/2006/main" count="336" uniqueCount="77">
  <si>
    <t>State</t>
  </si>
  <si>
    <t>Utah</t>
  </si>
  <si>
    <t>Population</t>
  </si>
  <si>
    <t>Median Income</t>
  </si>
  <si>
    <t>Job Growth Rate</t>
  </si>
  <si>
    <t>Obesity Rate</t>
  </si>
  <si>
    <t>Poverty Rate</t>
  </si>
  <si>
    <t>Air Quality Index</t>
  </si>
  <si>
    <t>Area (in SQ. MI.)</t>
  </si>
  <si>
    <t>GDP (in Billions)</t>
  </si>
  <si>
    <t>New Hampshire</t>
  </si>
  <si>
    <t>Rankings</t>
  </si>
  <si>
    <t>Capital City</t>
  </si>
  <si>
    <t>Salt Lake City</t>
  </si>
  <si>
    <t>Concord</t>
  </si>
  <si>
    <t>Nebraska</t>
  </si>
  <si>
    <t>Minnesota</t>
  </si>
  <si>
    <t>Idaho</t>
  </si>
  <si>
    <t>Iowa</t>
  </si>
  <si>
    <t>Vermont</t>
  </si>
  <si>
    <t>Washington</t>
  </si>
  <si>
    <t>Florida</t>
  </si>
  <si>
    <t>Massachusetts</t>
  </si>
  <si>
    <t>South Dakota</t>
  </si>
  <si>
    <t>Wyoming</t>
  </si>
  <si>
    <t>Virginia</t>
  </si>
  <si>
    <t>New Jersey</t>
  </si>
  <si>
    <t>North Dakota</t>
  </si>
  <si>
    <t>Lincoln</t>
  </si>
  <si>
    <t>St. Paul</t>
  </si>
  <si>
    <t>Boise</t>
  </si>
  <si>
    <t>Des Moines</t>
  </si>
  <si>
    <t>Montpelier</t>
  </si>
  <si>
    <t>Olympia</t>
  </si>
  <si>
    <t>Tallahassee</t>
  </si>
  <si>
    <t>Boston</t>
  </si>
  <si>
    <t xml:space="preserve">	33.5</t>
  </si>
  <si>
    <t>Net Migration Rate</t>
  </si>
  <si>
    <t xml:space="preserve">	45.0</t>
  </si>
  <si>
    <t>Pierre</t>
  </si>
  <si>
    <t>Cheyenne</t>
  </si>
  <si>
    <t>Richmond</t>
  </si>
  <si>
    <t>Trenton</t>
  </si>
  <si>
    <t>Bismarck</t>
  </si>
  <si>
    <t>Average Cost of Living Index</t>
  </si>
  <si>
    <t>Average Internet Speed (in MBPS)</t>
  </si>
  <si>
    <t>Crime Rate</t>
  </si>
  <si>
    <t>Graduation Rate</t>
  </si>
  <si>
    <t>Total GDP (in Billions)</t>
  </si>
  <si>
    <t>Total Population</t>
  </si>
  <si>
    <t>Average Income</t>
  </si>
  <si>
    <t>Average Job Growth Rate</t>
  </si>
  <si>
    <t>Average Migration Rate</t>
  </si>
  <si>
    <t># Rankings</t>
  </si>
  <si>
    <t>Total Area (in SQ. MI.)</t>
  </si>
  <si>
    <t xml:space="preserve">Poverty Rate </t>
  </si>
  <si>
    <t xml:space="preserve">Crime Rate </t>
  </si>
  <si>
    <t xml:space="preserve">Obesity Rate </t>
  </si>
  <si>
    <t xml:space="preserve">Average Cost of Living Index </t>
  </si>
  <si>
    <t xml:space="preserve">Graduation Rate </t>
  </si>
  <si>
    <t xml:space="preserve">Average Internet Speed (in MBPS) </t>
  </si>
  <si>
    <t xml:space="preserve">Air Quality Index </t>
  </si>
  <si>
    <t>US News</t>
  </si>
  <si>
    <t>https://www.usnews.com/news/best-states/rankings</t>
  </si>
  <si>
    <t>World Population Review</t>
  </si>
  <si>
    <t>https://worldpopulationreview.com/state-rankings/air-quality-by-state</t>
  </si>
  <si>
    <t>https://worldpopulationreview.com/state-rankings/crime-rate-by-state</t>
  </si>
  <si>
    <t>Insure</t>
  </si>
  <si>
    <t>https://www.insure.com/cost-of-living-by-state.html</t>
  </si>
  <si>
    <t>Bibliography</t>
  </si>
  <si>
    <t>State Rankings</t>
  </si>
  <si>
    <t>1. US News</t>
  </si>
  <si>
    <t>2. World Population Review</t>
  </si>
  <si>
    <t>3. Insure</t>
  </si>
  <si>
    <t>URL:</t>
  </si>
  <si>
    <r>
      <t>Data Type</t>
    </r>
    <r>
      <rPr>
        <sz val="16"/>
        <color rgb="FF2C3E50"/>
        <rFont val="Aptos Display"/>
        <family val="2"/>
        <scheme val="major"/>
      </rPr>
      <t>:</t>
    </r>
  </si>
  <si>
    <r>
      <t>URL</t>
    </r>
    <r>
      <rPr>
        <sz val="16"/>
        <color rgb="FF2C3E50"/>
        <rFont val="Aptos Display"/>
        <family val="2"/>
        <scheme val="maj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</si>
</sst>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00"/>
    <numFmt numFmtId="166" formatCode="0.0"/>
    <numFmt numFmtId="167" formatCode="&quot;$&quot;#,##0.00"/>
  </numFmts>
  <fonts count="17" x14ac:knownFonts="1">
    <font>
      <sz val="11"/>
      <color theme="1"/>
      <name val="Aptos Narrow"/>
      <family val="2"/>
      <scheme val="minor"/>
    </font>
    <font>
      <b/>
      <sz val="11"/>
      <color theme="1"/>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sz val="16"/>
      <color theme="1"/>
      <name val="Aptos Narrow"/>
      <family val="2"/>
      <scheme val="minor"/>
    </font>
    <font>
      <b/>
      <sz val="16"/>
      <color rgb="FF2C3E50"/>
      <name val="Aptos Display"/>
      <family val="2"/>
      <scheme val="major"/>
    </font>
    <font>
      <sz val="16"/>
      <color rgb="FF2C3E50"/>
      <name val="Aptos Display"/>
      <family val="2"/>
      <scheme val="major"/>
    </font>
    <font>
      <u/>
      <sz val="16"/>
      <color theme="3" tint="0.249977111117893"/>
      <name val="Aptos Display"/>
      <family val="2"/>
      <scheme val="major"/>
    </font>
    <font>
      <sz val="16"/>
      <color rgb="FF2C3E50"/>
      <name val="Aptos Narrow"/>
      <family val="2"/>
      <scheme val="minor"/>
    </font>
    <font>
      <u/>
      <sz val="16"/>
      <color theme="3" tint="0.249977111117893"/>
      <name val="Aptos Narrow"/>
      <family val="2"/>
      <scheme val="minor"/>
    </font>
    <font>
      <sz val="16"/>
      <color theme="3" tint="0.249977111117893"/>
      <name val="Aptos Narrow"/>
      <family val="2"/>
      <scheme val="minor"/>
    </font>
    <font>
      <sz val="11"/>
      <color theme="1"/>
      <name val="Calibri"/>
      <family val="2"/>
    </font>
    <font>
      <b/>
      <sz val="11"/>
      <color theme="1"/>
      <name val="Calibri"/>
      <family val="2"/>
    </font>
    <font>
      <b/>
      <sz val="11"/>
      <color rgb="FF2C3E50"/>
      <name val="Calibri"/>
      <family val="2"/>
    </font>
    <font>
      <b/>
      <sz val="12"/>
      <color rgb="FFECF0F1"/>
      <name val="Calibri"/>
      <family val="2"/>
    </font>
    <font>
      <b/>
      <sz val="16"/>
      <color rgb="FFECF0F1"/>
      <name val="Calibri"/>
      <family val="2"/>
    </font>
  </fonts>
  <fills count="7">
    <fill>
      <patternFill patternType="none"/>
    </fill>
    <fill>
      <patternFill patternType="gray125"/>
    </fill>
    <fill>
      <patternFill patternType="solid">
        <fgColor rgb="FFECF0F1"/>
        <bgColor indexed="64"/>
      </patternFill>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rgb="FF2C3E50"/>
        <bgColor indexed="64"/>
      </patternFill>
    </fill>
  </fills>
  <borders count="11">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dotted">
        <color theme="0"/>
      </left>
      <right style="dotted">
        <color theme="0"/>
      </right>
      <top style="dotted">
        <color theme="0"/>
      </top>
      <bottom style="dotted">
        <color theme="0"/>
      </bottom>
      <diagonal/>
    </border>
  </borders>
  <cellStyleXfs count="2">
    <xf numFmtId="0" fontId="0" fillId="0" borderId="0"/>
    <xf numFmtId="0" fontId="4" fillId="0" borderId="0" applyNumberFormat="0" applyFill="0" applyBorder="0" applyAlignment="0" applyProtection="0"/>
  </cellStyleXfs>
  <cellXfs count="71">
    <xf numFmtId="0" fontId="0" fillId="0" borderId="0" xfId="0"/>
    <xf numFmtId="10"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164" fontId="0" fillId="0" borderId="0" xfId="0"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1" fillId="0" borderId="0" xfId="0" applyFont="1" applyAlignment="1">
      <alignment horizontal="center" vertical="center"/>
    </xf>
    <xf numFmtId="167" fontId="0" fillId="0" borderId="0" xfId="0" applyNumberFormat="1" applyAlignment="1">
      <alignment horizontal="center" vertical="center"/>
    </xf>
    <xf numFmtId="0" fontId="3" fillId="3" borderId="2" xfId="0" applyFont="1" applyFill="1" applyBorder="1" applyAlignment="1">
      <alignment horizontal="center" vertical="center"/>
    </xf>
    <xf numFmtId="0" fontId="0" fillId="4" borderId="4" xfId="0" applyFill="1" applyBorder="1" applyAlignment="1">
      <alignment horizontal="center" vertical="center"/>
    </xf>
    <xf numFmtId="0" fontId="0" fillId="5" borderId="4" xfId="0" applyFill="1" applyBorder="1" applyAlignment="1">
      <alignment horizontal="center" vertical="center"/>
    </xf>
    <xf numFmtId="0" fontId="0" fillId="4" borderId="6" xfId="0" applyFill="1" applyBorder="1" applyAlignment="1">
      <alignment horizontal="center" vertical="center"/>
    </xf>
    <xf numFmtId="0" fontId="3" fillId="3" borderId="1" xfId="0" applyFont="1" applyFill="1" applyBorder="1" applyAlignment="1">
      <alignment horizontal="center" vertical="center"/>
    </xf>
    <xf numFmtId="1" fontId="0" fillId="4" borderId="3" xfId="0" applyNumberFormat="1" applyFill="1" applyBorder="1" applyAlignment="1">
      <alignment horizontal="center" vertical="center"/>
    </xf>
    <xf numFmtId="1" fontId="0" fillId="5" borderId="3" xfId="0" applyNumberFormat="1" applyFill="1" applyBorder="1" applyAlignment="1">
      <alignment horizontal="center" vertical="center"/>
    </xf>
    <xf numFmtId="1" fontId="0" fillId="4" borderId="5" xfId="0" applyNumberFormat="1" applyFill="1" applyBorder="1" applyAlignment="1">
      <alignment horizontal="center" vertical="center"/>
    </xf>
    <xf numFmtId="1" fontId="0" fillId="4" borderId="4" xfId="0" applyNumberFormat="1" applyFill="1" applyBorder="1" applyAlignment="1">
      <alignment horizontal="center" vertical="center"/>
    </xf>
    <xf numFmtId="1" fontId="0" fillId="5" borderId="4" xfId="0" applyNumberFormat="1" applyFill="1" applyBorder="1" applyAlignment="1">
      <alignment horizontal="center" vertical="center"/>
    </xf>
    <xf numFmtId="1" fontId="0" fillId="4" borderId="6" xfId="0" applyNumberFormat="1" applyFill="1" applyBorder="1" applyAlignment="1">
      <alignment horizontal="center" vertical="center"/>
    </xf>
    <xf numFmtId="167" fontId="0" fillId="4" borderId="4" xfId="0" applyNumberFormat="1" applyFill="1" applyBorder="1" applyAlignment="1">
      <alignment horizontal="center" vertical="center"/>
    </xf>
    <xf numFmtId="167" fontId="0" fillId="5" borderId="4" xfId="0" applyNumberFormat="1" applyFill="1" applyBorder="1" applyAlignment="1">
      <alignment horizontal="center" vertical="center"/>
    </xf>
    <xf numFmtId="167" fontId="0" fillId="4" borderId="6" xfId="0" applyNumberFormat="1" applyFill="1" applyBorder="1" applyAlignment="1">
      <alignment horizontal="center" vertical="center"/>
    </xf>
    <xf numFmtId="10" fontId="0" fillId="4" borderId="4" xfId="0" applyNumberFormat="1" applyFill="1" applyBorder="1" applyAlignment="1">
      <alignment horizontal="center" vertical="center"/>
    </xf>
    <xf numFmtId="10" fontId="0" fillId="5" borderId="4" xfId="0" applyNumberFormat="1" applyFill="1" applyBorder="1" applyAlignment="1">
      <alignment horizontal="center" vertical="center"/>
    </xf>
    <xf numFmtId="10" fontId="0" fillId="4" borderId="6" xfId="0" applyNumberFormat="1" applyFill="1" applyBorder="1" applyAlignment="1">
      <alignment horizontal="center" vertical="center"/>
    </xf>
    <xf numFmtId="164" fontId="0" fillId="4" borderId="4" xfId="0" applyNumberFormat="1" applyFill="1" applyBorder="1" applyAlignment="1">
      <alignment horizontal="center" vertical="center"/>
    </xf>
    <xf numFmtId="165" fontId="0" fillId="4" borderId="4" xfId="0" applyNumberFormat="1" applyFill="1" applyBorder="1" applyAlignment="1">
      <alignment horizontal="center" vertical="center"/>
    </xf>
    <xf numFmtId="164" fontId="0" fillId="5" borderId="4" xfId="0" applyNumberFormat="1" applyFill="1" applyBorder="1" applyAlignment="1">
      <alignment horizontal="center" vertical="center"/>
    </xf>
    <xf numFmtId="165" fontId="0" fillId="5" borderId="4" xfId="0" applyNumberFormat="1" applyFill="1" applyBorder="1" applyAlignment="1">
      <alignment horizontal="center" vertical="center"/>
    </xf>
    <xf numFmtId="164" fontId="0" fillId="4" borderId="6" xfId="0" applyNumberFormat="1" applyFill="1" applyBorder="1" applyAlignment="1">
      <alignment horizontal="center" vertical="center"/>
    </xf>
    <xf numFmtId="165" fontId="0" fillId="4" borderId="6" xfId="0" applyNumberFormat="1" applyFill="1" applyBorder="1" applyAlignment="1">
      <alignment horizontal="center" vertical="center"/>
    </xf>
    <xf numFmtId="166" fontId="0" fillId="4" borderId="4" xfId="0" applyNumberFormat="1" applyFill="1" applyBorder="1" applyAlignment="1">
      <alignment horizontal="center" vertical="center"/>
    </xf>
    <xf numFmtId="166" fontId="0" fillId="5" borderId="4" xfId="0" applyNumberFormat="1" applyFill="1" applyBorder="1" applyAlignment="1">
      <alignment horizontal="center" vertical="center"/>
    </xf>
    <xf numFmtId="166" fontId="0" fillId="4" borderId="6" xfId="0" applyNumberFormat="1" applyFill="1" applyBorder="1" applyAlignment="1">
      <alignment horizontal="center" vertical="center"/>
    </xf>
    <xf numFmtId="0" fontId="3" fillId="3" borderId="7" xfId="0" applyFont="1" applyFill="1" applyBorder="1" applyAlignment="1">
      <alignment horizontal="center" vertical="center"/>
    </xf>
    <xf numFmtId="0" fontId="4" fillId="0" borderId="0" xfId="1"/>
    <xf numFmtId="10" fontId="0" fillId="4" borderId="8" xfId="0" applyNumberFormat="1" applyFill="1" applyBorder="1" applyAlignment="1">
      <alignment horizontal="center" vertical="center"/>
    </xf>
    <xf numFmtId="10" fontId="0" fillId="5" borderId="8" xfId="0" applyNumberFormat="1" applyFill="1" applyBorder="1" applyAlignment="1">
      <alignment horizontal="center" vertical="center"/>
    </xf>
    <xf numFmtId="10" fontId="0" fillId="4" borderId="9" xfId="0" applyNumberFormat="1" applyFill="1" applyBorder="1" applyAlignment="1">
      <alignment horizontal="center" vertical="center"/>
    </xf>
    <xf numFmtId="0" fontId="0" fillId="0" borderId="0" xfId="0" pivotButton="1" applyAlignment="1">
      <alignment horizontal="center" vertical="center"/>
    </xf>
    <xf numFmtId="0" fontId="5" fillId="0" borderId="0" xfId="0" applyFont="1"/>
    <xf numFmtId="0" fontId="6" fillId="2" borderId="0" xfId="0" applyFont="1" applyFill="1"/>
    <xf numFmtId="0" fontId="7" fillId="2" borderId="0" xfId="0" applyFont="1" applyFill="1"/>
    <xf numFmtId="0" fontId="8" fillId="2" borderId="0" xfId="1" applyFont="1" applyFill="1"/>
    <xf numFmtId="0" fontId="9" fillId="2" borderId="0" xfId="0" applyFont="1" applyFill="1"/>
    <xf numFmtId="0" fontId="10" fillId="2" borderId="0" xfId="1" applyFont="1" applyFill="1"/>
    <xf numFmtId="0" fontId="11" fillId="2" borderId="0" xfId="0" applyFont="1" applyFill="1"/>
    <xf numFmtId="0" fontId="5" fillId="2" borderId="0" xfId="0" applyFont="1" applyFill="1"/>
    <xf numFmtId="0" fontId="12" fillId="0" borderId="0" xfId="0" applyFont="1"/>
    <xf numFmtId="0" fontId="13" fillId="2" borderId="10" xfId="0" applyFont="1" applyFill="1" applyBorder="1" applyAlignment="1">
      <alignment horizontal="left" vertical="center"/>
    </xf>
    <xf numFmtId="0" fontId="14" fillId="2" borderId="10" xfId="0" applyFont="1" applyFill="1" applyBorder="1" applyAlignment="1">
      <alignment horizontal="left" vertical="center"/>
    </xf>
    <xf numFmtId="167" fontId="14" fillId="2" borderId="10" xfId="0" applyNumberFormat="1" applyFont="1" applyFill="1" applyBorder="1" applyAlignment="1">
      <alignment horizontal="center" vertical="center"/>
    </xf>
    <xf numFmtId="4" fontId="14" fillId="2" borderId="10" xfId="0" applyNumberFormat="1" applyFont="1" applyFill="1" applyBorder="1" applyAlignment="1">
      <alignment horizontal="center" vertical="center"/>
    </xf>
    <xf numFmtId="164" fontId="14" fillId="2" borderId="10" xfId="0" applyNumberFormat="1" applyFont="1" applyFill="1" applyBorder="1" applyAlignment="1">
      <alignment horizontal="center" vertical="center"/>
    </xf>
    <xf numFmtId="10" fontId="14" fillId="2" borderId="10" xfId="0" applyNumberFormat="1" applyFont="1" applyFill="1" applyBorder="1" applyAlignment="1">
      <alignment horizontal="center" vertical="center"/>
    </xf>
    <xf numFmtId="0" fontId="9" fillId="6" borderId="0" xfId="0" applyFont="1" applyFill="1"/>
    <xf numFmtId="0" fontId="11" fillId="6" borderId="0" xfId="0" applyFont="1" applyFill="1"/>
    <xf numFmtId="0" fontId="5" fillId="6" borderId="0" xfId="0" applyFont="1" applyFill="1"/>
    <xf numFmtId="0" fontId="12" fillId="2" borderId="0" xfId="0" applyFont="1" applyFill="1"/>
    <xf numFmtId="0" fontId="12" fillId="2" borderId="10" xfId="0" applyFont="1" applyFill="1" applyBorder="1"/>
    <xf numFmtId="164" fontId="12" fillId="2" borderId="0" xfId="0" applyNumberFormat="1" applyFont="1" applyFill="1"/>
    <xf numFmtId="0" fontId="15" fillId="2" borderId="0" xfId="0" applyFont="1" applyFill="1" applyAlignment="1">
      <alignment vertical="center"/>
    </xf>
    <xf numFmtId="0" fontId="15" fillId="6" borderId="10" xfId="0" applyFont="1" applyFill="1" applyBorder="1" applyAlignment="1">
      <alignment horizontal="center" vertical="center"/>
    </xf>
    <xf numFmtId="0" fontId="15" fillId="6" borderId="10" xfId="0" applyFont="1" applyFill="1" applyBorder="1" applyAlignment="1">
      <alignment horizontal="center" textRotation="45"/>
    </xf>
    <xf numFmtId="166" fontId="16" fillId="6" borderId="10" xfId="0" applyNumberFormat="1" applyFont="1" applyFill="1" applyBorder="1" applyAlignment="1">
      <alignment horizontal="center"/>
    </xf>
    <xf numFmtId="1" fontId="16" fillId="6" borderId="10" xfId="0" applyNumberFormat="1" applyFont="1" applyFill="1" applyBorder="1" applyAlignment="1">
      <alignment horizontal="center"/>
    </xf>
    <xf numFmtId="165" fontId="16" fillId="6" borderId="10" xfId="0" applyNumberFormat="1" applyFont="1" applyFill="1" applyBorder="1" applyAlignment="1">
      <alignment horizontal="center"/>
    </xf>
    <xf numFmtId="10" fontId="16" fillId="6" borderId="10" xfId="0" applyNumberFormat="1" applyFont="1" applyFill="1" applyBorder="1" applyAlignment="1">
      <alignment horizontal="center"/>
    </xf>
    <xf numFmtId="0" fontId="16" fillId="6" borderId="10" xfId="0" applyFont="1" applyFill="1" applyBorder="1" applyAlignment="1">
      <alignment horizontal="center"/>
    </xf>
  </cellXfs>
  <cellStyles count="2">
    <cellStyle name="Hyperlink" xfId="1" builtinId="8"/>
    <cellStyle name="Normal" xfId="0" builtinId="0"/>
  </cellStyles>
  <dxfs count="134">
    <dxf>
      <numFmt numFmtId="14" formatCode="0.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4" formatCode="&quot;$&quot;#,##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rgb="FFECF0F1"/>
        </patternFill>
      </fill>
    </dxf>
    <dxf>
      <fill>
        <patternFill>
          <bgColor rgb="FFECF0F1"/>
        </patternFill>
      </fill>
    </dxf>
    <dxf>
      <fill>
        <patternFill>
          <bgColor rgb="FFECF0F1"/>
        </patternFill>
      </fill>
    </dxf>
    <dxf>
      <fill>
        <patternFill>
          <bgColor rgb="FFECF0F1"/>
        </patternFill>
      </fill>
    </dxf>
    <dxf>
      <fill>
        <patternFill>
          <bgColor rgb="FFECF0F1"/>
        </patternFill>
      </fill>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font>
        <name val="Calibri"/>
        <family val="2"/>
      </font>
    </dxf>
    <dxf>
      <font>
        <name val="Calibri"/>
        <family val="2"/>
      </font>
    </dxf>
    <dxf>
      <font>
        <name val="Calibri"/>
        <family val="2"/>
      </font>
    </dxf>
    <dxf>
      <font>
        <name val="Calibri"/>
        <family val="2"/>
      </font>
    </dxf>
    <dxf>
      <font>
        <name val="Calibri"/>
        <family val="2"/>
      </font>
    </dxf>
    <dxf>
      <font>
        <b/>
      </font>
    </dxf>
    <dxf>
      <font>
        <b/>
      </font>
    </dxf>
    <dxf>
      <font>
        <color rgb="FF2C3E50"/>
      </font>
    </dxf>
    <dxf>
      <font>
        <color rgb="FF2C3E50"/>
      </font>
    </dxf>
    <dxf>
      <font>
        <color theme="1"/>
      </font>
    </dxf>
    <dxf>
      <font>
        <color theme="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4" formatCode="#,##0.00"/>
    </dxf>
    <dxf>
      <font>
        <color rgb="FF2C3E50"/>
      </font>
    </dxf>
    <dxf>
      <font>
        <color rgb="FF2C3E50"/>
      </font>
    </dxf>
    <dxf>
      <font>
        <b/>
      </font>
    </dxf>
    <dxf>
      <font>
        <b/>
      </fon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center"/>
    </dxf>
    <dxf>
      <alignment horizontal="center"/>
    </dxf>
    <dxf>
      <fill>
        <gradientFill degree="180">
          <stop position="0">
            <color theme="0"/>
          </stop>
          <stop position="1">
            <color theme="4"/>
          </stop>
        </gradientFill>
      </fill>
    </dxf>
    <dxf>
      <fill>
        <gradientFill>
          <stop position="0">
            <color theme="0"/>
          </stop>
          <stop position="1">
            <color theme="4"/>
          </stop>
        </gradientFill>
      </fill>
    </dxf>
    <dxf>
      <fill>
        <patternFill>
          <bgColor rgb="FF2C3E50"/>
        </patternFill>
      </fill>
    </dxf>
    <dxf>
      <fill>
        <gradientFill>
          <stop position="0">
            <color theme="0"/>
          </stop>
          <stop position="1">
            <color theme="4"/>
          </stop>
        </gradientFill>
      </fill>
    </dxf>
  </dxfs>
  <tableStyles count="4" defaultTableStyle="TableStyleMedium2" defaultPivotStyle="PivotStyleLight16">
    <tableStyle name="PivotTable Style 1" table="0" count="1" xr9:uid="{6B2A21D1-B562-470D-9201-6EC268CE6382}">
      <tableStyleElement type="wholeTable" dxfId="133"/>
    </tableStyle>
    <tableStyle name="Slicer Style 1" pivot="0" table="0" count="1" xr9:uid="{30224EE3-70B6-4B6B-B9A4-90A44675351A}">
      <tableStyleElement type="wholeTable" dxfId="132"/>
    </tableStyle>
    <tableStyle name="Slicer Style 2" pivot="0" table="0" count="1" xr9:uid="{E3441EFD-C9D6-40FB-A6EA-602CA248DB70}">
      <tableStyleElement type="wholeTable" dxfId="131"/>
    </tableStyle>
    <tableStyle name="Slicer Style 3" pivot="0" table="0" count="1" xr9:uid="{CEA86265-075C-4FF4-9853-1A854FC21220}">
      <tableStyleElement type="wholeTable" dxfId="130"/>
    </tableStyle>
  </tableStyles>
  <colors>
    <mruColors>
      <color rgb="FF2C3E50"/>
      <color rgb="FFECF0F1"/>
      <color rgb="FFE74C3C"/>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Dashboard.xlsm]Analyse!PivotTable3</c:name>
    <c:fmtId val="46"/>
  </c:pivotSource>
  <c:chart>
    <c:title>
      <c:tx>
        <c:rich>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r>
              <a:rPr lang="en-US">
                <a:solidFill>
                  <a:srgbClr val="2C3E50"/>
                </a:solidFill>
              </a:rPr>
              <a:t>Area (in SQ. MI.)</a:t>
            </a:r>
          </a:p>
        </c:rich>
      </c:tx>
      <c:overlay val="0"/>
      <c:spPr>
        <a:noFill/>
        <a:ln>
          <a:noFill/>
        </a:ln>
        <a:effectLst/>
      </c:spPr>
      <c:txPr>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Analyse!$B$5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Analyse!$A$6:$A$20</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Analyse!$B$6:$B$20</c:f>
              <c:numCache>
                <c:formatCode>General</c:formatCode>
                <c:ptCount val="15"/>
                <c:pt idx="0">
                  <c:v>71404</c:v>
                </c:pt>
                <c:pt idx="1">
                  <c:v>83569</c:v>
                </c:pt>
                <c:pt idx="2">
                  <c:v>56273</c:v>
                </c:pt>
                <c:pt idx="3">
                  <c:v>10554</c:v>
                </c:pt>
                <c:pt idx="4">
                  <c:v>86943</c:v>
                </c:pt>
                <c:pt idx="5">
                  <c:v>77347</c:v>
                </c:pt>
                <c:pt idx="6">
                  <c:v>9350</c:v>
                </c:pt>
                <c:pt idx="7">
                  <c:v>8719</c:v>
                </c:pt>
                <c:pt idx="8">
                  <c:v>70699</c:v>
                </c:pt>
                <c:pt idx="9">
                  <c:v>77116</c:v>
                </c:pt>
                <c:pt idx="10">
                  <c:v>84898</c:v>
                </c:pt>
                <c:pt idx="11">
                  <c:v>9615</c:v>
                </c:pt>
                <c:pt idx="12">
                  <c:v>42775</c:v>
                </c:pt>
                <c:pt idx="13">
                  <c:v>71301</c:v>
                </c:pt>
                <c:pt idx="14">
                  <c:v>97810</c:v>
                </c:pt>
              </c:numCache>
            </c:numRef>
          </c:val>
          <c:extLst>
            <c:ext xmlns:c16="http://schemas.microsoft.com/office/drawing/2014/chart" uri="{C3380CC4-5D6E-409C-BE32-E72D297353CC}">
              <c16:uniqueId val="{00000000-58CF-413B-9696-9A21BFFE2667}"/>
            </c:ext>
          </c:extLst>
        </c:ser>
        <c:dLbls>
          <c:showLegendKey val="0"/>
          <c:showVal val="1"/>
          <c:showCatName val="0"/>
          <c:showSerName val="0"/>
          <c:showPercent val="0"/>
          <c:showBubbleSize val="0"/>
        </c:dLbls>
        <c:gapWidth val="150"/>
        <c:shape val="box"/>
        <c:axId val="1918519999"/>
        <c:axId val="1918517119"/>
        <c:axId val="0"/>
      </c:bar3DChart>
      <c:catAx>
        <c:axId val="1918519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7119"/>
        <c:crosses val="autoZero"/>
        <c:auto val="1"/>
        <c:lblAlgn val="ctr"/>
        <c:lblOffset val="100"/>
        <c:noMultiLvlLbl val="0"/>
      </c:catAx>
      <c:valAx>
        <c:axId val="1918517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9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2C3E50"/>
                </a:solidFill>
              </a:rPr>
              <a:t>Poverty</a:t>
            </a:r>
            <a:r>
              <a:rPr lang="en-US" sz="1600" b="1" baseline="0">
                <a:solidFill>
                  <a:srgbClr val="2C3E50"/>
                </a:solidFill>
              </a:rPr>
              <a:t> &amp; Crime Rate</a:t>
            </a:r>
            <a:endParaRPr lang="en-US" sz="1600" b="1">
              <a:solidFill>
                <a:srgbClr val="2C3E5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Analyse!$B$22</c:f>
              <c:strCache>
                <c:ptCount val="1"/>
                <c:pt idx="0">
                  <c:v>Poverty Rate </c:v>
                </c:pt>
              </c:strCache>
            </c:strRef>
          </c:tx>
          <c:spPr>
            <a:solidFill>
              <a:schemeClr val="accent1"/>
            </a:solidFill>
            <a:ln>
              <a:noFill/>
            </a:ln>
            <a:effectLst/>
          </c:spP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Analyse!$B$23:$B$37</c:f>
              <c:numCache>
                <c:formatCode>0.000</c:formatCode>
                <c:ptCount val="15"/>
                <c:pt idx="0">
                  <c:v>0.127</c:v>
                </c:pt>
                <c:pt idx="1">
                  <c:v>0.107</c:v>
                </c:pt>
                <c:pt idx="2">
                  <c:v>0.126</c:v>
                </c:pt>
                <c:pt idx="3">
                  <c:v>0.104</c:v>
                </c:pt>
                <c:pt idx="4">
                  <c:v>9.6000000000000002E-2</c:v>
                </c:pt>
                <c:pt idx="5">
                  <c:v>0.112</c:v>
                </c:pt>
                <c:pt idx="6">
                  <c:v>7.1999999999999995E-2</c:v>
                </c:pt>
                <c:pt idx="7">
                  <c:v>9.7000000000000003E-2</c:v>
                </c:pt>
                <c:pt idx="8">
                  <c:v>0.115</c:v>
                </c:pt>
                <c:pt idx="9">
                  <c:v>0.125</c:v>
                </c:pt>
                <c:pt idx="10">
                  <c:v>8.2000000000000003E-2</c:v>
                </c:pt>
                <c:pt idx="11">
                  <c:v>0.104</c:v>
                </c:pt>
                <c:pt idx="12">
                  <c:v>0.106</c:v>
                </c:pt>
                <c:pt idx="13">
                  <c:v>0.1</c:v>
                </c:pt>
                <c:pt idx="14">
                  <c:v>0.11799999999999999</c:v>
                </c:pt>
              </c:numCache>
            </c:numRef>
          </c:val>
          <c:extLst>
            <c:ext xmlns:c16="http://schemas.microsoft.com/office/drawing/2014/chart" uri="{C3380CC4-5D6E-409C-BE32-E72D297353CC}">
              <c16:uniqueId val="{00000000-990C-4330-8B7E-CC26F1140E58}"/>
            </c:ext>
          </c:extLst>
        </c:ser>
        <c:dLbls>
          <c:showLegendKey val="0"/>
          <c:showVal val="0"/>
          <c:showCatName val="0"/>
          <c:showSerName val="0"/>
          <c:showPercent val="0"/>
          <c:showBubbleSize val="0"/>
        </c:dLbls>
        <c:axId val="1437735759"/>
        <c:axId val="1984054799"/>
      </c:areaChart>
      <c:lineChart>
        <c:grouping val="stacked"/>
        <c:varyColors val="0"/>
        <c:ser>
          <c:idx val="1"/>
          <c:order val="1"/>
          <c:tx>
            <c:strRef>
              <c:f>Analyse!$C$22</c:f>
              <c:strCache>
                <c:ptCount val="1"/>
                <c:pt idx="0">
                  <c:v>Crime Rate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Analyse!$C$23:$C$37</c:f>
              <c:numCache>
                <c:formatCode>0.00%</c:formatCode>
                <c:ptCount val="15"/>
                <c:pt idx="0">
                  <c:v>3.9219999999999998E-2</c:v>
                </c:pt>
                <c:pt idx="1">
                  <c:v>2.4660000000000001E-2</c:v>
                </c:pt>
                <c:pt idx="2">
                  <c:v>2.4660000000000001E-2</c:v>
                </c:pt>
                <c:pt idx="3">
                  <c:v>2.4150000000000001E-2</c:v>
                </c:pt>
                <c:pt idx="4">
                  <c:v>4.5269999999999998E-2</c:v>
                </c:pt>
                <c:pt idx="5">
                  <c:v>4.1520000000000001E-2</c:v>
                </c:pt>
                <c:pt idx="6">
                  <c:v>2.3439999999999999E-2</c:v>
                </c:pt>
                <c:pt idx="7">
                  <c:v>2.512E-2</c:v>
                </c:pt>
                <c:pt idx="8">
                  <c:v>4.5769999999999998E-2</c:v>
                </c:pt>
                <c:pt idx="9">
                  <c:v>4.4150000000000002E-2</c:v>
                </c:pt>
                <c:pt idx="10">
                  <c:v>5.1900000000000002E-2</c:v>
                </c:pt>
                <c:pt idx="11">
                  <c:v>2.6069999999999999E-2</c:v>
                </c:pt>
                <c:pt idx="12">
                  <c:v>3.1210000000000002E-2</c:v>
                </c:pt>
                <c:pt idx="13">
                  <c:v>5.7590000000000002E-2</c:v>
                </c:pt>
                <c:pt idx="14">
                  <c:v>3.4549999999999997E-2</c:v>
                </c:pt>
              </c:numCache>
            </c:numRef>
          </c:val>
          <c:smooth val="0"/>
          <c:extLst>
            <c:ext xmlns:c16="http://schemas.microsoft.com/office/drawing/2014/chart" uri="{C3380CC4-5D6E-409C-BE32-E72D297353CC}">
              <c16:uniqueId val="{00000001-990C-4330-8B7E-CC26F1140E58}"/>
            </c:ext>
          </c:extLst>
        </c:ser>
        <c:dLbls>
          <c:showLegendKey val="0"/>
          <c:showVal val="0"/>
          <c:showCatName val="0"/>
          <c:showSerName val="0"/>
          <c:showPercent val="0"/>
          <c:showBubbleSize val="0"/>
        </c:dLbls>
        <c:marker val="1"/>
        <c:smooth val="0"/>
        <c:axId val="1973053599"/>
        <c:axId val="1973056479"/>
      </c:lineChart>
      <c:catAx>
        <c:axId val="143773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054799"/>
        <c:crosses val="autoZero"/>
        <c:auto val="1"/>
        <c:lblAlgn val="ctr"/>
        <c:lblOffset val="100"/>
        <c:noMultiLvlLbl val="0"/>
      </c:catAx>
      <c:valAx>
        <c:axId val="198405479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35759"/>
        <c:crosses val="autoZero"/>
        <c:crossBetween val="between"/>
      </c:valAx>
      <c:valAx>
        <c:axId val="19730564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053599"/>
        <c:crosses val="max"/>
        <c:crossBetween val="between"/>
      </c:valAx>
      <c:catAx>
        <c:axId val="1973053599"/>
        <c:scaling>
          <c:orientation val="minMax"/>
        </c:scaling>
        <c:delete val="1"/>
        <c:axPos val="b"/>
        <c:numFmt formatCode="General" sourceLinked="1"/>
        <c:majorTickMark val="out"/>
        <c:minorTickMark val="none"/>
        <c:tickLblPos val="nextTo"/>
        <c:crossAx val="1973056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jpeg"/><Relationship Id="rId13" Type="http://schemas.openxmlformats.org/officeDocument/2006/relationships/image" Target="../media/image11.jpeg"/><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image" Target="../media/image10.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9.jpeg"/><Relationship Id="rId5" Type="http://schemas.openxmlformats.org/officeDocument/2006/relationships/image" Target="../media/image5.png"/><Relationship Id="rId10" Type="http://schemas.openxmlformats.org/officeDocument/2006/relationships/image" Target="../media/image8.jpeg"/><Relationship Id="rId4" Type="http://schemas.openxmlformats.org/officeDocument/2006/relationships/image" Target="../media/image4.png"/><Relationship Id="rId9" Type="http://schemas.openxmlformats.org/officeDocument/2006/relationships/image" Target="../media/image7.jpeg"/><Relationship Id="rId14" Type="http://schemas.openxmlformats.org/officeDocument/2006/relationships/image" Target="../media/image1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editAs="oneCell">
    <xdr:from>
      <xdr:col>1</xdr:col>
      <xdr:colOff>2</xdr:colOff>
      <xdr:row>12</xdr:row>
      <xdr:rowOff>5951</xdr:rowOff>
    </xdr:from>
    <xdr:to>
      <xdr:col>3</xdr:col>
      <xdr:colOff>579</xdr:colOff>
      <xdr:row>32</xdr:row>
      <xdr:rowOff>178593</xdr:rowOff>
    </xdr:to>
    <mc:AlternateContent xmlns:mc="http://schemas.openxmlformats.org/markup-compatibility/2006" xmlns:a14="http://schemas.microsoft.com/office/drawing/2010/main">
      <mc:Choice Requires="a14">
        <xdr:graphicFrame macro="">
          <xdr:nvGraphicFramePr>
            <xdr:cNvPr id="30" name="State">
              <a:extLst>
                <a:ext uri="{FF2B5EF4-FFF2-40B4-BE49-F238E27FC236}">
                  <a16:creationId xmlns:a16="http://schemas.microsoft.com/office/drawing/2014/main" id="{4BDFE12A-57CC-4638-89BA-FAF62F33665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78596" y="2149076"/>
              <a:ext cx="1257537" cy="5012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11905</xdr:colOff>
      <xdr:row>7</xdr:row>
      <xdr:rowOff>11907</xdr:rowOff>
    </xdr:from>
    <xdr:to>
      <xdr:col>5</xdr:col>
      <xdr:colOff>648175</xdr:colOff>
      <xdr:row>11</xdr:row>
      <xdr:rowOff>1</xdr:rowOff>
    </xdr:to>
    <xdr:sp macro="" textlink="">
      <xdr:nvSpPr>
        <xdr:cNvPr id="50" name="Rectangle 49">
          <a:extLst>
            <a:ext uri="{FF2B5EF4-FFF2-40B4-BE49-F238E27FC236}">
              <a16:creationId xmlns:a16="http://schemas.microsoft.com/office/drawing/2014/main" id="{F4717939-CBA7-0857-A9DB-B5974FB65EF6}"/>
            </a:ext>
          </a:extLst>
        </xdr:cNvPr>
        <xdr:cNvSpPr/>
      </xdr:nvSpPr>
      <xdr:spPr>
        <a:xfrm>
          <a:off x="190499" y="1262063"/>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GDP (in Billions)</a:t>
          </a:r>
          <a:endParaRPr lang="en-IN" sz="1200" b="1" kern="1200">
            <a:solidFill>
              <a:srgbClr val="ECF0F1"/>
            </a:solidFill>
          </a:endParaRPr>
        </a:p>
      </xdr:txBody>
    </xdr:sp>
    <xdr:clientData/>
  </xdr:twoCellAnchor>
  <xdr:twoCellAnchor editAs="oneCell">
    <xdr:from>
      <xdr:col>1</xdr:col>
      <xdr:colOff>77390</xdr:colOff>
      <xdr:row>7</xdr:row>
      <xdr:rowOff>59534</xdr:rowOff>
    </xdr:from>
    <xdr:to>
      <xdr:col>2</xdr:col>
      <xdr:colOff>46037</xdr:colOff>
      <xdr:row>10</xdr:row>
      <xdr:rowOff>125017</xdr:rowOff>
    </xdr:to>
    <xdr:pic>
      <xdr:nvPicPr>
        <xdr:cNvPr id="51" name="Picture 50">
          <a:extLst>
            <a:ext uri="{FF2B5EF4-FFF2-40B4-BE49-F238E27FC236}">
              <a16:creationId xmlns:a16="http://schemas.microsoft.com/office/drawing/2014/main" id="{611F128D-0640-D343-73CF-12076DFDC7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5984" y="1309690"/>
          <a:ext cx="599678" cy="601265"/>
        </a:xfrm>
        <a:prstGeom prst="rect">
          <a:avLst/>
        </a:prstGeom>
      </xdr:spPr>
    </xdr:pic>
    <xdr:clientData/>
  </xdr:twoCellAnchor>
  <xdr:twoCellAnchor>
    <xdr:from>
      <xdr:col>2</xdr:col>
      <xdr:colOff>226220</xdr:colOff>
      <xdr:row>8</xdr:row>
      <xdr:rowOff>119062</xdr:rowOff>
    </xdr:from>
    <xdr:to>
      <xdr:col>4</xdr:col>
      <xdr:colOff>788195</xdr:colOff>
      <xdr:row>10</xdr:row>
      <xdr:rowOff>77389</xdr:rowOff>
    </xdr:to>
    <xdr:sp macro="" textlink="Analyse!A3">
      <xdr:nvSpPr>
        <xdr:cNvPr id="52" name="Rectangle 51">
          <a:extLst>
            <a:ext uri="{FF2B5EF4-FFF2-40B4-BE49-F238E27FC236}">
              <a16:creationId xmlns:a16="http://schemas.microsoft.com/office/drawing/2014/main" id="{A4F05F28-72FA-9670-0621-818AEACEC987}"/>
            </a:ext>
          </a:extLst>
        </xdr:cNvPr>
        <xdr:cNvSpPr/>
      </xdr:nvSpPr>
      <xdr:spPr>
        <a:xfrm>
          <a:off x="1035845" y="1547812"/>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EA36A2C-C89E-41ED-B567-3469FC077771}" type="TxLink">
            <a:rPr lang="en-US" sz="1600" b="1" i="0" u="none" strike="noStrike" kern="1200">
              <a:ln>
                <a:noFill/>
              </a:ln>
              <a:solidFill>
                <a:srgbClr val="2C3E50"/>
              </a:solidFill>
              <a:latin typeface="Aptos Narrow"/>
            </a:rPr>
            <a:pPr algn="l"/>
            <a:t>$6,263.00</a:t>
          </a:fld>
          <a:endParaRPr lang="en-IN" sz="1600" b="1" kern="1200">
            <a:ln>
              <a:noFill/>
            </a:ln>
            <a:solidFill>
              <a:srgbClr val="2C3E50"/>
            </a:solidFill>
          </a:endParaRPr>
        </a:p>
      </xdr:txBody>
    </xdr:sp>
    <xdr:clientData/>
  </xdr:twoCellAnchor>
  <xdr:twoCellAnchor>
    <xdr:from>
      <xdr:col>5</xdr:col>
      <xdr:colOff>976313</xdr:colOff>
      <xdr:row>7</xdr:row>
      <xdr:rowOff>11906</xdr:rowOff>
    </xdr:from>
    <xdr:to>
      <xdr:col>8</xdr:col>
      <xdr:colOff>761286</xdr:colOff>
      <xdr:row>11</xdr:row>
      <xdr:rowOff>0</xdr:rowOff>
    </xdr:to>
    <xdr:sp macro="" textlink="">
      <xdr:nvSpPr>
        <xdr:cNvPr id="53" name="Rectangle 52">
          <a:extLst>
            <a:ext uri="{FF2B5EF4-FFF2-40B4-BE49-F238E27FC236}">
              <a16:creationId xmlns:a16="http://schemas.microsoft.com/office/drawing/2014/main" id="{0327939D-C7CC-B6F8-21BF-90D6EC0EFB69}"/>
            </a:ext>
          </a:extLst>
        </xdr:cNvPr>
        <xdr:cNvSpPr/>
      </xdr:nvSpPr>
      <xdr:spPr>
        <a:xfrm>
          <a:off x="3536157" y="1262062"/>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Population</a:t>
          </a:r>
          <a:endParaRPr lang="en-IN" sz="1200" b="1" kern="1200">
            <a:solidFill>
              <a:srgbClr val="ECF0F1"/>
            </a:solidFill>
          </a:endParaRPr>
        </a:p>
      </xdr:txBody>
    </xdr:sp>
    <xdr:clientData/>
  </xdr:twoCellAnchor>
  <xdr:twoCellAnchor>
    <xdr:from>
      <xdr:col>6</xdr:col>
      <xdr:colOff>720326</xdr:colOff>
      <xdr:row>8</xdr:row>
      <xdr:rowOff>130970</xdr:rowOff>
    </xdr:from>
    <xdr:to>
      <xdr:col>8</xdr:col>
      <xdr:colOff>145254</xdr:colOff>
      <xdr:row>10</xdr:row>
      <xdr:rowOff>89297</xdr:rowOff>
    </xdr:to>
    <xdr:sp macro="" textlink="Analyse!B3">
      <xdr:nvSpPr>
        <xdr:cNvPr id="54" name="Rectangle 53">
          <a:extLst>
            <a:ext uri="{FF2B5EF4-FFF2-40B4-BE49-F238E27FC236}">
              <a16:creationId xmlns:a16="http://schemas.microsoft.com/office/drawing/2014/main" id="{E4314595-DB0F-86FB-CCCA-AC131E71B3BD}"/>
            </a:ext>
          </a:extLst>
        </xdr:cNvPr>
        <xdr:cNvSpPr/>
      </xdr:nvSpPr>
      <xdr:spPr>
        <a:xfrm>
          <a:off x="4566045" y="155972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EFEB587-C03E-4533-B407-68B696938BFA}" type="TxLink">
            <a:rPr lang="en-US" sz="1600" b="1" i="0" u="none" strike="noStrike" kern="1200">
              <a:ln>
                <a:noFill/>
              </a:ln>
              <a:solidFill>
                <a:srgbClr val="2C3E50"/>
              </a:solidFill>
              <a:latin typeface="Aptos Narrow"/>
            </a:rPr>
            <a:pPr algn="l"/>
            <a:t>76074121</a:t>
          </a:fld>
          <a:endParaRPr lang="en-IN" sz="1600" b="1" kern="1200">
            <a:ln>
              <a:noFill/>
            </a:ln>
            <a:solidFill>
              <a:srgbClr val="2C3E50"/>
            </a:solidFill>
          </a:endParaRPr>
        </a:p>
      </xdr:txBody>
    </xdr:sp>
    <xdr:clientData/>
  </xdr:twoCellAnchor>
  <xdr:twoCellAnchor editAs="oneCell">
    <xdr:from>
      <xdr:col>5</xdr:col>
      <xdr:colOff>1041797</xdr:colOff>
      <xdr:row>7</xdr:row>
      <xdr:rowOff>59531</xdr:rowOff>
    </xdr:from>
    <xdr:to>
      <xdr:col>6</xdr:col>
      <xdr:colOff>353474</xdr:colOff>
      <xdr:row>10</xdr:row>
      <xdr:rowOff>127253</xdr:rowOff>
    </xdr:to>
    <xdr:pic>
      <xdr:nvPicPr>
        <xdr:cNvPr id="55" name="Picture 54">
          <a:extLst>
            <a:ext uri="{FF2B5EF4-FFF2-40B4-BE49-F238E27FC236}">
              <a16:creationId xmlns:a16="http://schemas.microsoft.com/office/drawing/2014/main" id="{093EB548-5587-8EE1-E954-1DB6B188CA0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641" y="1309687"/>
          <a:ext cx="603504" cy="603504"/>
        </a:xfrm>
        <a:prstGeom prst="rect">
          <a:avLst/>
        </a:prstGeom>
      </xdr:spPr>
    </xdr:pic>
    <xdr:clientData/>
  </xdr:twoCellAnchor>
  <xdr:twoCellAnchor>
    <xdr:from>
      <xdr:col>8</xdr:col>
      <xdr:colOff>1101327</xdr:colOff>
      <xdr:row>7</xdr:row>
      <xdr:rowOff>5953</xdr:rowOff>
    </xdr:from>
    <xdr:to>
      <xdr:col>12</xdr:col>
      <xdr:colOff>481488</xdr:colOff>
      <xdr:row>10</xdr:row>
      <xdr:rowOff>172640</xdr:rowOff>
    </xdr:to>
    <xdr:sp macro="" textlink="">
      <xdr:nvSpPr>
        <xdr:cNvPr id="56" name="Rectangle 55">
          <a:extLst>
            <a:ext uri="{FF2B5EF4-FFF2-40B4-BE49-F238E27FC236}">
              <a16:creationId xmlns:a16="http://schemas.microsoft.com/office/drawing/2014/main" id="{B0B423EC-67E1-9DD8-FFB2-D7401F846CA5}"/>
            </a:ext>
          </a:extLst>
        </xdr:cNvPr>
        <xdr:cNvSpPr/>
      </xdr:nvSpPr>
      <xdr:spPr>
        <a:xfrm>
          <a:off x="6893718" y="1256109"/>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Income</a:t>
          </a:r>
          <a:endParaRPr lang="en-IN" sz="1200" b="1" kern="1200">
            <a:solidFill>
              <a:srgbClr val="ECF0F1"/>
            </a:solidFill>
          </a:endParaRPr>
        </a:p>
      </xdr:txBody>
    </xdr:sp>
    <xdr:clientData/>
  </xdr:twoCellAnchor>
  <xdr:twoCellAnchor>
    <xdr:from>
      <xdr:col>9</xdr:col>
      <xdr:colOff>636981</xdr:colOff>
      <xdr:row>8</xdr:row>
      <xdr:rowOff>130971</xdr:rowOff>
    </xdr:from>
    <xdr:to>
      <xdr:col>11</xdr:col>
      <xdr:colOff>466722</xdr:colOff>
      <xdr:row>10</xdr:row>
      <xdr:rowOff>89298</xdr:rowOff>
    </xdr:to>
    <xdr:sp macro="" textlink="Analyse!C3">
      <xdr:nvSpPr>
        <xdr:cNvPr id="57" name="Rectangle 56">
          <a:extLst>
            <a:ext uri="{FF2B5EF4-FFF2-40B4-BE49-F238E27FC236}">
              <a16:creationId xmlns:a16="http://schemas.microsoft.com/office/drawing/2014/main" id="{0BFE50E6-65F0-756D-E2DC-EDDB36D675A2}"/>
            </a:ext>
          </a:extLst>
        </xdr:cNvPr>
        <xdr:cNvSpPr/>
      </xdr:nvSpPr>
      <xdr:spPr>
        <a:xfrm>
          <a:off x="7893841" y="1559721"/>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022DF3A-ACA8-420E-A1F5-9567ABF1FB1F}" type="TxLink">
            <a:rPr lang="en-US" sz="1600" b="1" i="0" u="none" strike="noStrike" kern="1200">
              <a:ln>
                <a:noFill/>
              </a:ln>
              <a:solidFill>
                <a:srgbClr val="2C3E50"/>
              </a:solidFill>
              <a:latin typeface="Aptos Narrow"/>
            </a:rPr>
            <a:pPr algn="l"/>
            <a:t>$44,562</a:t>
          </a:fld>
          <a:endParaRPr lang="en-IN" sz="1600" b="1" kern="1200">
            <a:ln>
              <a:noFill/>
            </a:ln>
            <a:solidFill>
              <a:srgbClr val="2C3E50"/>
            </a:solidFill>
          </a:endParaRPr>
        </a:p>
      </xdr:txBody>
    </xdr:sp>
    <xdr:clientData/>
  </xdr:twoCellAnchor>
  <xdr:twoCellAnchor editAs="oneCell">
    <xdr:from>
      <xdr:col>8</xdr:col>
      <xdr:colOff>1161655</xdr:colOff>
      <xdr:row>7</xdr:row>
      <xdr:rowOff>65486</xdr:rowOff>
    </xdr:from>
    <xdr:to>
      <xdr:col>9</xdr:col>
      <xdr:colOff>239571</xdr:colOff>
      <xdr:row>10</xdr:row>
      <xdr:rowOff>133208</xdr:rowOff>
    </xdr:to>
    <xdr:pic>
      <xdr:nvPicPr>
        <xdr:cNvPr id="58" name="Picture 57">
          <a:extLst>
            <a:ext uri="{FF2B5EF4-FFF2-40B4-BE49-F238E27FC236}">
              <a16:creationId xmlns:a16="http://schemas.microsoft.com/office/drawing/2014/main" id="{88F4B13E-7B5D-9E02-5FC4-2441C8D02B1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4046" y="1315642"/>
          <a:ext cx="542385" cy="603504"/>
        </a:xfrm>
        <a:prstGeom prst="rect">
          <a:avLst/>
        </a:prstGeom>
      </xdr:spPr>
    </xdr:pic>
    <xdr:clientData/>
  </xdr:twoCellAnchor>
  <xdr:twoCellAnchor>
    <xdr:from>
      <xdr:col>13</xdr:col>
      <xdr:colOff>125016</xdr:colOff>
      <xdr:row>7</xdr:row>
      <xdr:rowOff>5954</xdr:rowOff>
    </xdr:from>
    <xdr:to>
      <xdr:col>18</xdr:col>
      <xdr:colOff>439817</xdr:colOff>
      <xdr:row>10</xdr:row>
      <xdr:rowOff>172641</xdr:rowOff>
    </xdr:to>
    <xdr:sp macro="" textlink="">
      <xdr:nvSpPr>
        <xdr:cNvPr id="59" name="Rectangle 58">
          <a:extLst>
            <a:ext uri="{FF2B5EF4-FFF2-40B4-BE49-F238E27FC236}">
              <a16:creationId xmlns:a16="http://schemas.microsoft.com/office/drawing/2014/main" id="{75146E8B-588F-C6E7-0EF8-2C639C555F69}"/>
            </a:ext>
          </a:extLst>
        </xdr:cNvPr>
        <xdr:cNvSpPr/>
      </xdr:nvSpPr>
      <xdr:spPr>
        <a:xfrm>
          <a:off x="10185797" y="1256110"/>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Job Growth Rate</a:t>
          </a:r>
          <a:endParaRPr lang="en-IN" sz="1200" b="1" kern="1200">
            <a:solidFill>
              <a:srgbClr val="ECF0F1"/>
            </a:solidFill>
          </a:endParaRPr>
        </a:p>
      </xdr:txBody>
    </xdr:sp>
    <xdr:clientData/>
  </xdr:twoCellAnchor>
  <xdr:twoCellAnchor>
    <xdr:from>
      <xdr:col>14</xdr:col>
      <xdr:colOff>232171</xdr:colOff>
      <xdr:row>8</xdr:row>
      <xdr:rowOff>119063</xdr:rowOff>
    </xdr:from>
    <xdr:to>
      <xdr:col>16</xdr:col>
      <xdr:colOff>341709</xdr:colOff>
      <xdr:row>10</xdr:row>
      <xdr:rowOff>77390</xdr:rowOff>
    </xdr:to>
    <xdr:sp macro="" textlink="Analyse!D3">
      <xdr:nvSpPr>
        <xdr:cNvPr id="60" name="Rectangle 59">
          <a:extLst>
            <a:ext uri="{FF2B5EF4-FFF2-40B4-BE49-F238E27FC236}">
              <a16:creationId xmlns:a16="http://schemas.microsoft.com/office/drawing/2014/main" id="{16D89D1C-0D76-52EB-7AB2-F8E27AF0CE73}"/>
            </a:ext>
          </a:extLst>
        </xdr:cNvPr>
        <xdr:cNvSpPr/>
      </xdr:nvSpPr>
      <xdr:spPr>
        <a:xfrm>
          <a:off x="10923984" y="1547813"/>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5BCCEA5-3202-4B3E-8B48-177E68D7B9D6}" type="TxLink">
            <a:rPr lang="en-US" sz="1600" b="1" i="0" u="none" strike="noStrike" kern="1200">
              <a:ln>
                <a:noFill/>
              </a:ln>
              <a:solidFill>
                <a:srgbClr val="2C3E50"/>
              </a:solidFill>
              <a:latin typeface="Aptos Narrow"/>
            </a:rPr>
            <a:pPr algn="l"/>
            <a:t>2.33%</a:t>
          </a:fld>
          <a:endParaRPr lang="en-IN" sz="1600" b="1" kern="1200">
            <a:ln>
              <a:noFill/>
            </a:ln>
            <a:solidFill>
              <a:srgbClr val="2C3E50"/>
            </a:solidFill>
          </a:endParaRPr>
        </a:p>
      </xdr:txBody>
    </xdr:sp>
    <xdr:clientData/>
  </xdr:twoCellAnchor>
  <xdr:twoCellAnchor editAs="oneCell">
    <xdr:from>
      <xdr:col>13</xdr:col>
      <xdr:colOff>190499</xdr:colOff>
      <xdr:row>7</xdr:row>
      <xdr:rowOff>65484</xdr:rowOff>
    </xdr:from>
    <xdr:to>
      <xdr:col>14</xdr:col>
      <xdr:colOff>145113</xdr:colOff>
      <xdr:row>10</xdr:row>
      <xdr:rowOff>133206</xdr:rowOff>
    </xdr:to>
    <xdr:pic>
      <xdr:nvPicPr>
        <xdr:cNvPr id="61" name="Picture 60">
          <a:extLst>
            <a:ext uri="{FF2B5EF4-FFF2-40B4-BE49-F238E27FC236}">
              <a16:creationId xmlns:a16="http://schemas.microsoft.com/office/drawing/2014/main" id="{59153C83-ADA1-5D8B-FE98-9BD71B2EFA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51280" y="1315640"/>
          <a:ext cx="585645" cy="603504"/>
        </a:xfrm>
        <a:prstGeom prst="rect">
          <a:avLst/>
        </a:prstGeom>
      </xdr:spPr>
    </xdr:pic>
    <xdr:clientData/>
  </xdr:twoCellAnchor>
  <xdr:twoCellAnchor>
    <xdr:from>
      <xdr:col>19</xdr:col>
      <xdr:colOff>77391</xdr:colOff>
      <xdr:row>7</xdr:row>
      <xdr:rowOff>0</xdr:rowOff>
    </xdr:from>
    <xdr:to>
      <xdr:col>24</xdr:col>
      <xdr:colOff>177879</xdr:colOff>
      <xdr:row>10</xdr:row>
      <xdr:rowOff>166687</xdr:rowOff>
    </xdr:to>
    <xdr:sp macro="" textlink="">
      <xdr:nvSpPr>
        <xdr:cNvPr id="62" name="Rectangle 61">
          <a:extLst>
            <a:ext uri="{FF2B5EF4-FFF2-40B4-BE49-F238E27FC236}">
              <a16:creationId xmlns:a16="http://schemas.microsoft.com/office/drawing/2014/main" id="{7D933662-555C-2AD4-D094-2C2DC0127781}"/>
            </a:ext>
          </a:extLst>
        </xdr:cNvPr>
        <xdr:cNvSpPr/>
      </xdr:nvSpPr>
      <xdr:spPr>
        <a:xfrm>
          <a:off x="13471922" y="1250156"/>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Migration Rate</a:t>
          </a:r>
          <a:endParaRPr lang="en-IN" sz="1200" b="1" kern="1200">
            <a:solidFill>
              <a:srgbClr val="ECF0F1"/>
            </a:solidFill>
          </a:endParaRPr>
        </a:p>
      </xdr:txBody>
    </xdr:sp>
    <xdr:clientData/>
  </xdr:twoCellAnchor>
  <xdr:twoCellAnchor>
    <xdr:from>
      <xdr:col>20</xdr:col>
      <xdr:colOff>238123</xdr:colOff>
      <xdr:row>8</xdr:row>
      <xdr:rowOff>113110</xdr:rowOff>
    </xdr:from>
    <xdr:to>
      <xdr:col>22</xdr:col>
      <xdr:colOff>347661</xdr:colOff>
      <xdr:row>10</xdr:row>
      <xdr:rowOff>71437</xdr:rowOff>
    </xdr:to>
    <xdr:sp macro="" textlink="Analyse!E3">
      <xdr:nvSpPr>
        <xdr:cNvPr id="63" name="Rectangle 62">
          <a:extLst>
            <a:ext uri="{FF2B5EF4-FFF2-40B4-BE49-F238E27FC236}">
              <a16:creationId xmlns:a16="http://schemas.microsoft.com/office/drawing/2014/main" id="{35215D14-06AF-C185-1C1A-791BB23F33F1}"/>
            </a:ext>
          </a:extLst>
        </xdr:cNvPr>
        <xdr:cNvSpPr/>
      </xdr:nvSpPr>
      <xdr:spPr>
        <a:xfrm>
          <a:off x="14263686" y="154186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2503D8F-2B41-40FD-B331-94023726DD3E}" type="TxLink">
            <a:rPr lang="en-US" sz="1600" b="1" i="0" u="none" strike="noStrike" kern="1200">
              <a:ln>
                <a:noFill/>
              </a:ln>
              <a:solidFill>
                <a:srgbClr val="2C3E50"/>
              </a:solidFill>
              <a:latin typeface="Aptos Narrow"/>
            </a:rPr>
            <a:pPr algn="l"/>
            <a:t>0.45%</a:t>
          </a:fld>
          <a:endParaRPr lang="en-IN" sz="1600" b="1" kern="1200">
            <a:ln>
              <a:noFill/>
            </a:ln>
            <a:solidFill>
              <a:srgbClr val="2C3E50"/>
            </a:solidFill>
          </a:endParaRPr>
        </a:p>
      </xdr:txBody>
    </xdr:sp>
    <xdr:clientData/>
  </xdr:twoCellAnchor>
  <xdr:twoCellAnchor editAs="oneCell">
    <xdr:from>
      <xdr:col>19</xdr:col>
      <xdr:colOff>136921</xdr:colOff>
      <xdr:row>7</xdr:row>
      <xdr:rowOff>53579</xdr:rowOff>
    </xdr:from>
    <xdr:to>
      <xdr:col>20</xdr:col>
      <xdr:colOff>91535</xdr:colOff>
      <xdr:row>10</xdr:row>
      <xdr:rowOff>121301</xdr:rowOff>
    </xdr:to>
    <xdr:pic>
      <xdr:nvPicPr>
        <xdr:cNvPr id="64" name="Picture 63">
          <a:extLst>
            <a:ext uri="{FF2B5EF4-FFF2-40B4-BE49-F238E27FC236}">
              <a16:creationId xmlns:a16="http://schemas.microsoft.com/office/drawing/2014/main" id="{16AA9531-7E50-2937-BDB1-7F0BBC9BD7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531452" y="1303735"/>
          <a:ext cx="585645" cy="603504"/>
        </a:xfrm>
        <a:prstGeom prst="rect">
          <a:avLst/>
        </a:prstGeom>
      </xdr:spPr>
    </xdr:pic>
    <xdr:clientData/>
  </xdr:twoCellAnchor>
  <xdr:twoCellAnchor>
    <xdr:from>
      <xdr:col>1</xdr:col>
      <xdr:colOff>11906</xdr:colOff>
      <xdr:row>1</xdr:row>
      <xdr:rowOff>11905</xdr:rowOff>
    </xdr:from>
    <xdr:to>
      <xdr:col>24</xdr:col>
      <xdr:colOff>172640</xdr:colOff>
      <xdr:row>6</xdr:row>
      <xdr:rowOff>11904</xdr:rowOff>
    </xdr:to>
    <xdr:sp macro="" textlink="">
      <xdr:nvSpPr>
        <xdr:cNvPr id="67" name="Rectangle 66">
          <a:extLst>
            <a:ext uri="{FF2B5EF4-FFF2-40B4-BE49-F238E27FC236}">
              <a16:creationId xmlns:a16="http://schemas.microsoft.com/office/drawing/2014/main" id="{215376B7-6500-FFBA-63A8-8E12FB345579}"/>
            </a:ext>
          </a:extLst>
        </xdr:cNvPr>
        <xdr:cNvSpPr/>
      </xdr:nvSpPr>
      <xdr:spPr>
        <a:xfrm>
          <a:off x="190500" y="190499"/>
          <a:ext cx="16293703" cy="892968"/>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kern="1200">
              <a:solidFill>
                <a:srgbClr val="ECF0F1"/>
              </a:solidFill>
            </a:rPr>
            <a:t>The</a:t>
          </a:r>
          <a:r>
            <a:rPr lang="en-IN" sz="3200" b="1" kern="1200" baseline="0">
              <a:solidFill>
                <a:srgbClr val="ECF0F1"/>
              </a:solidFill>
            </a:rPr>
            <a:t> Optimal Places to Work &amp; Live </a:t>
          </a:r>
          <a:br>
            <a:rPr lang="en-IN" sz="1100" kern="1200" baseline="0">
              <a:solidFill>
                <a:srgbClr val="ECF0F1"/>
              </a:solidFill>
            </a:rPr>
          </a:br>
          <a:r>
            <a:rPr lang="en-IN" sz="1600" b="1" kern="1200" baseline="0">
              <a:solidFill>
                <a:srgbClr val="ECF0F1"/>
              </a:solidFill>
            </a:rPr>
            <a:t>United States of America (Top 15 States)</a:t>
          </a:r>
          <a:endParaRPr lang="en-IN" sz="1600" b="1" kern="1200">
            <a:solidFill>
              <a:srgbClr val="ECF0F1"/>
            </a:solidFill>
          </a:endParaRPr>
        </a:p>
      </xdr:txBody>
    </xdr:sp>
    <xdr:clientData/>
  </xdr:twoCellAnchor>
  <xdr:twoCellAnchor>
    <xdr:from>
      <xdr:col>9</xdr:col>
      <xdr:colOff>238125</xdr:colOff>
      <xdr:row>29</xdr:row>
      <xdr:rowOff>5953</xdr:rowOff>
    </xdr:from>
    <xdr:to>
      <xdr:col>15</xdr:col>
      <xdr:colOff>595313</xdr:colOff>
      <xdr:row>45</xdr:row>
      <xdr:rowOff>11908</xdr:rowOff>
    </xdr:to>
    <xdr:graphicFrame macro="">
      <xdr:nvGraphicFramePr>
        <xdr:cNvPr id="72" name="Chart 71">
          <a:extLst>
            <a:ext uri="{FF2B5EF4-FFF2-40B4-BE49-F238E27FC236}">
              <a16:creationId xmlns:a16="http://schemas.microsoft.com/office/drawing/2014/main" id="{C7DE3956-BF67-4F20-9EB1-7C3F8E1DE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148826</xdr:colOff>
      <xdr:row>28</xdr:row>
      <xdr:rowOff>172639</xdr:rowOff>
    </xdr:from>
    <xdr:to>
      <xdr:col>25</xdr:col>
      <xdr:colOff>1665</xdr:colOff>
      <xdr:row>44</xdr:row>
      <xdr:rowOff>172639</xdr:rowOff>
    </xdr:to>
    <xdr:graphicFrame macro="">
      <xdr:nvGraphicFramePr>
        <xdr:cNvPr id="73" name="Chart 72">
          <a:extLst>
            <a:ext uri="{FF2B5EF4-FFF2-40B4-BE49-F238E27FC236}">
              <a16:creationId xmlns:a16="http://schemas.microsoft.com/office/drawing/2014/main" id="{5A767588-15E1-4285-8782-6B4D4755B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70941</xdr:colOff>
      <xdr:row>1</xdr:row>
      <xdr:rowOff>65485</xdr:rowOff>
    </xdr:from>
    <xdr:to>
      <xdr:col>2</xdr:col>
      <xdr:colOff>246521</xdr:colOff>
      <xdr:row>5</xdr:row>
      <xdr:rowOff>142875</xdr:rowOff>
    </xdr:to>
    <xdr:pic macro="[0]!Information">
      <xdr:nvPicPr>
        <xdr:cNvPr id="3" name="Picture 2">
          <a:extLst>
            <a:ext uri="{FF2B5EF4-FFF2-40B4-BE49-F238E27FC236}">
              <a16:creationId xmlns:a16="http://schemas.microsoft.com/office/drawing/2014/main" id="{759E368C-FC07-ACE5-4EB3-8E20E6D8271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9535" y="244079"/>
          <a:ext cx="806611" cy="791765"/>
        </a:xfrm>
        <a:prstGeom prst="rect">
          <a:avLst/>
        </a:prstGeom>
      </xdr:spPr>
    </xdr:pic>
    <xdr:clientData/>
  </xdr:twoCellAnchor>
  <xdr:twoCellAnchor editAs="oneCell">
    <xdr:from>
      <xdr:col>11</xdr:col>
      <xdr:colOff>11905</xdr:colOff>
      <xdr:row>12</xdr:row>
      <xdr:rowOff>11907</xdr:rowOff>
    </xdr:from>
    <xdr:to>
      <xdr:col>24</xdr:col>
      <xdr:colOff>172640</xdr:colOff>
      <xdr:row>28</xdr:row>
      <xdr:rowOff>0</xdr:rowOff>
    </xdr:to>
    <xdr:pic>
      <xdr:nvPicPr>
        <xdr:cNvPr id="7" name="Picture 6">
          <a:extLst>
            <a:ext uri="{FF2B5EF4-FFF2-40B4-BE49-F238E27FC236}">
              <a16:creationId xmlns:a16="http://schemas.microsoft.com/office/drawing/2014/main" id="{3B0E8395-2992-2C33-D1DD-6A3271D0767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10624" y="2155032"/>
          <a:ext cx="7673579" cy="2845593"/>
        </a:xfrm>
        <a:prstGeom prst="rect">
          <a:avLst/>
        </a:prstGeom>
      </xdr:spPr>
    </xdr:pic>
    <xdr:clientData/>
  </xdr:twoCellAnchor>
  <xdr:twoCellAnchor>
    <xdr:from>
      <xdr:col>22</xdr:col>
      <xdr:colOff>136921</xdr:colOff>
      <xdr:row>25</xdr:row>
      <xdr:rowOff>41672</xdr:rowOff>
    </xdr:from>
    <xdr:to>
      <xdr:col>23</xdr:col>
      <xdr:colOff>178593</xdr:colOff>
      <xdr:row>26</xdr:row>
      <xdr:rowOff>95250</xdr:rowOff>
    </xdr:to>
    <xdr:sp macro="" textlink="Analyse!B74">
      <xdr:nvSpPr>
        <xdr:cNvPr id="9" name="Rectangle 8">
          <a:extLst>
            <a:ext uri="{FF2B5EF4-FFF2-40B4-BE49-F238E27FC236}">
              <a16:creationId xmlns:a16="http://schemas.microsoft.com/office/drawing/2014/main" id="{471A5127-06F8-19CE-E0EB-B83DE66E7957}"/>
            </a:ext>
          </a:extLst>
        </xdr:cNvPr>
        <xdr:cNvSpPr/>
      </xdr:nvSpPr>
      <xdr:spPr>
        <a:xfrm>
          <a:off x="15424546" y="450651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B6FFE82-D2A5-4286-99F5-53739EAE2E7B}" type="TxLink">
            <a:rPr lang="en-US" sz="1100" b="1" i="0" u="none" strike="noStrike" kern="1200">
              <a:solidFill>
                <a:schemeClr val="bg1"/>
              </a:solidFill>
              <a:latin typeface="Aptos Narrow"/>
              <a:ea typeface="+mn-ea"/>
              <a:cs typeface="+mn-cs"/>
            </a:rPr>
            <a:pPr marL="0" indent="0" algn="ctr"/>
            <a:t>322.3</a:t>
          </a:fld>
          <a:endParaRPr lang="en-IN" sz="1100" b="1" i="0" u="none" strike="noStrike" kern="1200">
            <a:solidFill>
              <a:schemeClr val="bg1"/>
            </a:solidFill>
            <a:latin typeface="Aptos Narrow"/>
            <a:ea typeface="+mn-ea"/>
            <a:cs typeface="+mn-cs"/>
          </a:endParaRPr>
        </a:p>
      </xdr:txBody>
    </xdr:sp>
    <xdr:clientData/>
  </xdr:twoCellAnchor>
  <xdr:twoCellAnchor>
    <xdr:from>
      <xdr:col>13</xdr:col>
      <xdr:colOff>77392</xdr:colOff>
      <xdr:row>15</xdr:row>
      <xdr:rowOff>119063</xdr:rowOff>
    </xdr:from>
    <xdr:to>
      <xdr:col>14</xdr:col>
      <xdr:colOff>119063</xdr:colOff>
      <xdr:row>16</xdr:row>
      <xdr:rowOff>172641</xdr:rowOff>
    </xdr:to>
    <xdr:sp macro="" textlink="Analyse!B75">
      <xdr:nvSpPr>
        <xdr:cNvPr id="10" name="Rectangle 9">
          <a:extLst>
            <a:ext uri="{FF2B5EF4-FFF2-40B4-BE49-F238E27FC236}">
              <a16:creationId xmlns:a16="http://schemas.microsoft.com/office/drawing/2014/main" id="{EB7C5483-F7D7-6B00-AA06-2CA5A6A8F03D}"/>
            </a:ext>
          </a:extLst>
        </xdr:cNvPr>
        <xdr:cNvSpPr/>
      </xdr:nvSpPr>
      <xdr:spPr>
        <a:xfrm>
          <a:off x="10138173" y="2797969"/>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FEDBD2E-C3DF-42BE-9D98-1A2242CE63D5}" type="TxLink">
            <a:rPr lang="en-US" sz="1100" b="1" i="0" u="none" strike="noStrike" kern="1200">
              <a:solidFill>
                <a:schemeClr val="bg1"/>
              </a:solidFill>
              <a:latin typeface="Aptos Narrow"/>
              <a:ea typeface="+mn-ea"/>
              <a:cs typeface="+mn-cs"/>
            </a:rPr>
            <a:pPr marL="0" indent="0" algn="ctr"/>
            <a:t>230.1</a:t>
          </a:fld>
          <a:endParaRPr lang="en-IN" sz="1100" b="1" i="0" u="none" strike="noStrike" kern="1200">
            <a:solidFill>
              <a:schemeClr val="bg1"/>
            </a:solidFill>
            <a:latin typeface="Aptos Narrow"/>
            <a:ea typeface="+mn-ea"/>
            <a:cs typeface="+mn-cs"/>
          </a:endParaRPr>
        </a:p>
      </xdr:txBody>
    </xdr:sp>
    <xdr:clientData/>
  </xdr:twoCellAnchor>
  <xdr:twoCellAnchor>
    <xdr:from>
      <xdr:col>22</xdr:col>
      <xdr:colOff>434578</xdr:colOff>
      <xdr:row>20</xdr:row>
      <xdr:rowOff>65485</xdr:rowOff>
    </xdr:from>
    <xdr:to>
      <xdr:col>24</xdr:col>
      <xdr:colOff>83343</xdr:colOff>
      <xdr:row>21</xdr:row>
      <xdr:rowOff>119063</xdr:rowOff>
    </xdr:to>
    <xdr:sp macro="" textlink="Analyse!B81">
      <xdr:nvSpPr>
        <xdr:cNvPr id="11" name="Rectangle 10">
          <a:extLst>
            <a:ext uri="{FF2B5EF4-FFF2-40B4-BE49-F238E27FC236}">
              <a16:creationId xmlns:a16="http://schemas.microsoft.com/office/drawing/2014/main" id="{D9138229-5178-F145-7D7B-7B81E1DB5D14}"/>
            </a:ext>
          </a:extLst>
        </xdr:cNvPr>
        <xdr:cNvSpPr/>
      </xdr:nvSpPr>
      <xdr:spPr>
        <a:xfrm>
          <a:off x="15722203" y="3637360"/>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7B10FB-D5F5-4E28-98FB-31F7DA8766CE}" type="TxLink">
            <a:rPr lang="en-US" sz="1100" b="1" i="0" u="none" strike="noStrike" kern="1200">
              <a:solidFill>
                <a:schemeClr val="bg1"/>
              </a:solidFill>
              <a:latin typeface="Aptos Narrow"/>
            </a:rPr>
            <a:pPr algn="ctr"/>
            <a:t>427.8</a:t>
          </a:fld>
          <a:endParaRPr lang="en-IN" sz="1600" b="1" kern="1200">
            <a:solidFill>
              <a:schemeClr val="bg1"/>
            </a:solidFill>
          </a:endParaRPr>
        </a:p>
      </xdr:txBody>
    </xdr:sp>
    <xdr:clientData/>
  </xdr:twoCellAnchor>
  <xdr:twoCellAnchor>
    <xdr:from>
      <xdr:col>20</xdr:col>
      <xdr:colOff>500063</xdr:colOff>
      <xdr:row>12</xdr:row>
      <xdr:rowOff>166690</xdr:rowOff>
    </xdr:from>
    <xdr:to>
      <xdr:col>21</xdr:col>
      <xdr:colOff>541735</xdr:colOff>
      <xdr:row>14</xdr:row>
      <xdr:rowOff>41674</xdr:rowOff>
    </xdr:to>
    <xdr:sp macro="" textlink="Analyse!B85">
      <xdr:nvSpPr>
        <xdr:cNvPr id="12" name="Rectangle 11">
          <a:extLst>
            <a:ext uri="{FF2B5EF4-FFF2-40B4-BE49-F238E27FC236}">
              <a16:creationId xmlns:a16="http://schemas.microsoft.com/office/drawing/2014/main" id="{2DDEA5DC-3361-B42F-1990-78CF0A835CF1}"/>
            </a:ext>
          </a:extLst>
        </xdr:cNvPr>
        <xdr:cNvSpPr/>
      </xdr:nvSpPr>
      <xdr:spPr>
        <a:xfrm>
          <a:off x="14525626" y="2309815"/>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05A348F-7477-4A99-B083-62322DC3B2F1}" type="TxLink">
            <a:rPr lang="en-US" sz="1100" b="1" i="0" u="none" strike="noStrike" kern="1200">
              <a:solidFill>
                <a:schemeClr val="bg1"/>
              </a:solidFill>
              <a:latin typeface="Aptos Narrow"/>
            </a:rPr>
            <a:pPr algn="ctr"/>
            <a:t>408.2</a:t>
          </a:fld>
          <a:endParaRPr lang="en-IN" sz="1600" b="1" kern="1200">
            <a:solidFill>
              <a:schemeClr val="bg1"/>
            </a:solidFill>
          </a:endParaRPr>
        </a:p>
      </xdr:txBody>
    </xdr:sp>
    <xdr:clientData/>
  </xdr:twoCellAnchor>
  <xdr:twoCellAnchor>
    <xdr:from>
      <xdr:col>22</xdr:col>
      <xdr:colOff>440532</xdr:colOff>
      <xdr:row>18</xdr:row>
      <xdr:rowOff>29766</xdr:rowOff>
    </xdr:from>
    <xdr:to>
      <xdr:col>24</xdr:col>
      <xdr:colOff>89297</xdr:colOff>
      <xdr:row>19</xdr:row>
      <xdr:rowOff>83345</xdr:rowOff>
    </xdr:to>
    <xdr:sp macro="" textlink="Analyse!B77">
      <xdr:nvSpPr>
        <xdr:cNvPr id="13" name="Rectangle 12">
          <a:extLst>
            <a:ext uri="{FF2B5EF4-FFF2-40B4-BE49-F238E27FC236}">
              <a16:creationId xmlns:a16="http://schemas.microsoft.com/office/drawing/2014/main" id="{114A5DB1-4FA2-BB20-8833-CDD948DA70EE}"/>
            </a:ext>
          </a:extLst>
        </xdr:cNvPr>
        <xdr:cNvSpPr/>
      </xdr:nvSpPr>
      <xdr:spPr>
        <a:xfrm>
          <a:off x="15728157" y="324445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B9DBF3B-E502-4820-8D50-F85E86CAC1B1}" type="TxLink">
            <a:rPr lang="en-US" sz="1100" b="1" i="0" u="none" strike="noStrike" kern="1200">
              <a:solidFill>
                <a:schemeClr val="bg1"/>
              </a:solidFill>
              <a:latin typeface="Aptos Narrow"/>
            </a:rPr>
            <a:pPr algn="ctr"/>
            <a:t>401.2</a:t>
          </a:fld>
          <a:endParaRPr lang="en-IN" sz="1600" b="1" kern="1200">
            <a:solidFill>
              <a:schemeClr val="bg1"/>
            </a:solidFill>
          </a:endParaRPr>
        </a:p>
      </xdr:txBody>
    </xdr:sp>
    <xdr:clientData/>
  </xdr:twoCellAnchor>
  <xdr:twoCellAnchor>
    <xdr:from>
      <xdr:col>22</xdr:col>
      <xdr:colOff>440532</xdr:colOff>
      <xdr:row>12</xdr:row>
      <xdr:rowOff>101205</xdr:rowOff>
    </xdr:from>
    <xdr:to>
      <xdr:col>24</xdr:col>
      <xdr:colOff>89297</xdr:colOff>
      <xdr:row>13</xdr:row>
      <xdr:rowOff>154783</xdr:rowOff>
    </xdr:to>
    <xdr:sp macro="" textlink="Analyse!B80">
      <xdr:nvSpPr>
        <xdr:cNvPr id="14" name="Rectangle 13">
          <a:extLst>
            <a:ext uri="{FF2B5EF4-FFF2-40B4-BE49-F238E27FC236}">
              <a16:creationId xmlns:a16="http://schemas.microsoft.com/office/drawing/2014/main" id="{41A0A24D-848E-768D-7267-3142CBE110C2}"/>
            </a:ext>
          </a:extLst>
        </xdr:cNvPr>
        <xdr:cNvSpPr/>
      </xdr:nvSpPr>
      <xdr:spPr>
        <a:xfrm>
          <a:off x="15728157" y="2244330"/>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E241219-0AF3-4CED-8B2C-2FD8A53647C4}" type="TxLink">
            <a:rPr lang="en-US" sz="1100" b="1" i="0" u="none" strike="noStrike" kern="1200">
              <a:solidFill>
                <a:schemeClr val="bg1"/>
              </a:solidFill>
              <a:latin typeface="Aptos Narrow"/>
            </a:rPr>
            <a:pPr algn="ctr"/>
            <a:t>317.9</a:t>
          </a:fld>
          <a:endParaRPr lang="en-IN" sz="1600" b="1" kern="1200">
            <a:solidFill>
              <a:schemeClr val="bg1"/>
            </a:solidFill>
          </a:endParaRPr>
        </a:p>
      </xdr:txBody>
    </xdr:sp>
    <xdr:clientData/>
  </xdr:twoCellAnchor>
  <xdr:twoCellAnchor>
    <xdr:from>
      <xdr:col>22</xdr:col>
      <xdr:colOff>363140</xdr:colOff>
      <xdr:row>22</xdr:row>
      <xdr:rowOff>53578</xdr:rowOff>
    </xdr:from>
    <xdr:to>
      <xdr:col>24</xdr:col>
      <xdr:colOff>11905</xdr:colOff>
      <xdr:row>23</xdr:row>
      <xdr:rowOff>107157</xdr:rowOff>
    </xdr:to>
    <xdr:sp macro="" textlink="Analyse!B86">
      <xdr:nvSpPr>
        <xdr:cNvPr id="15" name="Rectangle 14">
          <a:extLst>
            <a:ext uri="{FF2B5EF4-FFF2-40B4-BE49-F238E27FC236}">
              <a16:creationId xmlns:a16="http://schemas.microsoft.com/office/drawing/2014/main" id="{E038555D-9FFC-3F67-7D21-D6FE478901A2}"/>
            </a:ext>
          </a:extLst>
        </xdr:cNvPr>
        <xdr:cNvSpPr/>
      </xdr:nvSpPr>
      <xdr:spPr>
        <a:xfrm>
          <a:off x="15650765" y="3982641"/>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231228D-421B-4737-AEB8-91876A2AE983}" type="TxLink">
            <a:rPr lang="en-US" sz="1100" b="1" i="0" u="none" strike="noStrike" kern="1200">
              <a:solidFill>
                <a:schemeClr val="bg1"/>
              </a:solidFill>
              <a:latin typeface="Aptos Narrow"/>
            </a:rPr>
            <a:pPr algn="ctr"/>
            <a:t>505.6</a:t>
          </a:fld>
          <a:endParaRPr lang="en-IN" sz="1600" b="1" kern="1200">
            <a:solidFill>
              <a:schemeClr val="bg1"/>
            </a:solidFill>
          </a:endParaRPr>
        </a:p>
      </xdr:txBody>
    </xdr:sp>
    <xdr:clientData/>
  </xdr:twoCellAnchor>
  <xdr:twoCellAnchor>
    <xdr:from>
      <xdr:col>13</xdr:col>
      <xdr:colOff>291704</xdr:colOff>
      <xdr:row>18</xdr:row>
      <xdr:rowOff>125016</xdr:rowOff>
    </xdr:from>
    <xdr:to>
      <xdr:col>14</xdr:col>
      <xdr:colOff>333375</xdr:colOff>
      <xdr:row>20</xdr:row>
      <xdr:rowOff>1</xdr:rowOff>
    </xdr:to>
    <xdr:sp macro="" textlink="Analyse!B84">
      <xdr:nvSpPr>
        <xdr:cNvPr id="16" name="Rectangle 15">
          <a:extLst>
            <a:ext uri="{FF2B5EF4-FFF2-40B4-BE49-F238E27FC236}">
              <a16:creationId xmlns:a16="http://schemas.microsoft.com/office/drawing/2014/main" id="{F6B054C5-88A1-8ED4-A63D-632F1CF2E4DF}"/>
            </a:ext>
          </a:extLst>
        </xdr:cNvPr>
        <xdr:cNvSpPr/>
      </xdr:nvSpPr>
      <xdr:spPr>
        <a:xfrm>
          <a:off x="10352485" y="333970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4995FD7-36F6-4EF6-A97F-68940D7F5EED}" type="TxLink">
            <a:rPr lang="en-US" sz="1100" b="1" i="0" u="none" strike="noStrike" kern="1200">
              <a:solidFill>
                <a:schemeClr val="bg1"/>
              </a:solidFill>
              <a:latin typeface="Aptos Narrow"/>
            </a:rPr>
            <a:pPr algn="ctr"/>
            <a:t>314.1</a:t>
          </a:fld>
          <a:endParaRPr lang="en-IN" sz="1600" b="1" kern="1200">
            <a:solidFill>
              <a:schemeClr val="bg1"/>
            </a:solidFill>
          </a:endParaRPr>
        </a:p>
      </xdr:txBody>
    </xdr:sp>
    <xdr:clientData/>
  </xdr:twoCellAnchor>
  <xdr:twoCellAnchor>
    <xdr:from>
      <xdr:col>15</xdr:col>
      <xdr:colOff>559594</xdr:colOff>
      <xdr:row>15</xdr:row>
      <xdr:rowOff>148830</xdr:rowOff>
    </xdr:from>
    <xdr:to>
      <xdr:col>16</xdr:col>
      <xdr:colOff>601266</xdr:colOff>
      <xdr:row>17</xdr:row>
      <xdr:rowOff>23814</xdr:rowOff>
    </xdr:to>
    <xdr:sp macro="" textlink="Analyse!B83">
      <xdr:nvSpPr>
        <xdr:cNvPr id="17" name="Rectangle 16">
          <a:extLst>
            <a:ext uri="{FF2B5EF4-FFF2-40B4-BE49-F238E27FC236}">
              <a16:creationId xmlns:a16="http://schemas.microsoft.com/office/drawing/2014/main" id="{E33ACEE1-8EB8-2671-8DE7-64ED83758243}"/>
            </a:ext>
          </a:extLst>
        </xdr:cNvPr>
        <xdr:cNvSpPr/>
      </xdr:nvSpPr>
      <xdr:spPr>
        <a:xfrm>
          <a:off x="11882438" y="282773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A91E374-C019-408A-9C72-860F8F0F4E18}" type="TxLink">
            <a:rPr lang="en-US" sz="1100" b="1" i="0" u="none" strike="noStrike" kern="1200">
              <a:solidFill>
                <a:schemeClr val="bg1"/>
              </a:solidFill>
              <a:latin typeface="Aptos Narrow"/>
            </a:rPr>
            <a:pPr algn="ctr"/>
            <a:t>191.7</a:t>
          </a:fld>
          <a:endParaRPr lang="en-IN" sz="1600" b="1" kern="1200">
            <a:solidFill>
              <a:schemeClr val="bg1"/>
            </a:solidFill>
          </a:endParaRPr>
        </a:p>
      </xdr:txBody>
    </xdr:sp>
    <xdr:clientData/>
  </xdr:twoCellAnchor>
  <xdr:twoCellAnchor>
    <xdr:from>
      <xdr:col>17</xdr:col>
      <xdr:colOff>23814</xdr:colOff>
      <xdr:row>14</xdr:row>
      <xdr:rowOff>154782</xdr:rowOff>
    </xdr:from>
    <xdr:to>
      <xdr:col>18</xdr:col>
      <xdr:colOff>517923</xdr:colOff>
      <xdr:row>16</xdr:row>
      <xdr:rowOff>29767</xdr:rowOff>
    </xdr:to>
    <xdr:sp macro="" textlink="Analyse!B78">
      <xdr:nvSpPr>
        <xdr:cNvPr id="18" name="Rectangle 17">
          <a:extLst>
            <a:ext uri="{FF2B5EF4-FFF2-40B4-BE49-F238E27FC236}">
              <a16:creationId xmlns:a16="http://schemas.microsoft.com/office/drawing/2014/main" id="{83983B5C-0BB2-7B52-065F-2A67AFA68CFD}"/>
            </a:ext>
          </a:extLst>
        </xdr:cNvPr>
        <xdr:cNvSpPr/>
      </xdr:nvSpPr>
      <xdr:spPr>
        <a:xfrm>
          <a:off x="12608720" y="2655095"/>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BE1CD3B-A5E4-4D61-82B5-80C761B953E9}" type="TxLink">
            <a:rPr lang="en-US" sz="1100" b="1" i="0" u="none" strike="noStrike" kern="1200">
              <a:solidFill>
                <a:schemeClr val="bg1"/>
              </a:solidFill>
              <a:latin typeface="Aptos Narrow"/>
            </a:rPr>
            <a:pPr algn="ctr"/>
            <a:t>304.2</a:t>
          </a:fld>
          <a:endParaRPr lang="en-IN" sz="1600" b="1" kern="1200">
            <a:solidFill>
              <a:schemeClr val="bg1"/>
            </a:solidFill>
          </a:endParaRPr>
        </a:p>
      </xdr:txBody>
    </xdr:sp>
    <xdr:clientData/>
  </xdr:twoCellAnchor>
  <xdr:twoCellAnchor>
    <xdr:from>
      <xdr:col>14</xdr:col>
      <xdr:colOff>273844</xdr:colOff>
      <xdr:row>16</xdr:row>
      <xdr:rowOff>119064</xdr:rowOff>
    </xdr:from>
    <xdr:to>
      <xdr:col>15</xdr:col>
      <xdr:colOff>315516</xdr:colOff>
      <xdr:row>17</xdr:row>
      <xdr:rowOff>172642</xdr:rowOff>
    </xdr:to>
    <xdr:sp macro="" textlink="Analyse!B88">
      <xdr:nvSpPr>
        <xdr:cNvPr id="19" name="Rectangle 18">
          <a:extLst>
            <a:ext uri="{FF2B5EF4-FFF2-40B4-BE49-F238E27FC236}">
              <a16:creationId xmlns:a16="http://schemas.microsoft.com/office/drawing/2014/main" id="{D9194592-9334-DB7E-4498-7749777F3C4A}"/>
            </a:ext>
          </a:extLst>
        </xdr:cNvPr>
        <xdr:cNvSpPr/>
      </xdr:nvSpPr>
      <xdr:spPr>
        <a:xfrm>
          <a:off x="10965657" y="297656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4DC61A3-53DD-4A3A-8EB1-D7D980891F80}" type="TxLink">
            <a:rPr lang="en-US" sz="1100" b="1" i="0" u="none" strike="noStrike" kern="1200">
              <a:solidFill>
                <a:schemeClr val="bg1"/>
              </a:solidFill>
              <a:latin typeface="Aptos Narrow"/>
            </a:rPr>
            <a:pPr algn="ctr"/>
            <a:t>203.2</a:t>
          </a:fld>
          <a:endParaRPr lang="en-IN" sz="1600" b="1" kern="1200">
            <a:solidFill>
              <a:schemeClr val="bg1"/>
            </a:solidFill>
          </a:endParaRPr>
        </a:p>
      </xdr:txBody>
    </xdr:sp>
    <xdr:clientData/>
  </xdr:twoCellAnchor>
  <xdr:twoCellAnchor>
    <xdr:from>
      <xdr:col>17</xdr:col>
      <xdr:colOff>130970</xdr:colOff>
      <xdr:row>17</xdr:row>
      <xdr:rowOff>65483</xdr:rowOff>
    </xdr:from>
    <xdr:to>
      <xdr:col>18</xdr:col>
      <xdr:colOff>625079</xdr:colOff>
      <xdr:row>18</xdr:row>
      <xdr:rowOff>119061</xdr:rowOff>
    </xdr:to>
    <xdr:sp macro="" textlink="Analyse!B76">
      <xdr:nvSpPr>
        <xdr:cNvPr id="20" name="Rectangle 19">
          <a:extLst>
            <a:ext uri="{FF2B5EF4-FFF2-40B4-BE49-F238E27FC236}">
              <a16:creationId xmlns:a16="http://schemas.microsoft.com/office/drawing/2014/main" id="{C0A1146F-2555-2BB9-8CE8-34C6FAED8EC3}"/>
            </a:ext>
          </a:extLst>
        </xdr:cNvPr>
        <xdr:cNvSpPr/>
      </xdr:nvSpPr>
      <xdr:spPr>
        <a:xfrm>
          <a:off x="12715876" y="3101577"/>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11C0746-D88E-4E96-9998-D0E057AF1213}" type="TxLink">
            <a:rPr lang="en-US" sz="1100" b="1" i="0" u="none" strike="noStrike" kern="1200">
              <a:solidFill>
                <a:schemeClr val="bg1"/>
              </a:solidFill>
              <a:latin typeface="Aptos Narrow"/>
            </a:rPr>
            <a:pPr algn="ctr"/>
            <a:t>193.9</a:t>
          </a:fld>
          <a:endParaRPr lang="en-IN" sz="1600" b="1" kern="1200">
            <a:solidFill>
              <a:schemeClr val="bg1"/>
            </a:solidFill>
          </a:endParaRPr>
        </a:p>
      </xdr:txBody>
    </xdr:sp>
    <xdr:clientData/>
  </xdr:twoCellAnchor>
  <xdr:twoCellAnchor>
    <xdr:from>
      <xdr:col>15</xdr:col>
      <xdr:colOff>583406</xdr:colOff>
      <xdr:row>17</xdr:row>
      <xdr:rowOff>119062</xdr:rowOff>
    </xdr:from>
    <xdr:to>
      <xdr:col>16</xdr:col>
      <xdr:colOff>625078</xdr:colOff>
      <xdr:row>18</xdr:row>
      <xdr:rowOff>172640</xdr:rowOff>
    </xdr:to>
    <xdr:sp macro="" textlink="Analyse!B79">
      <xdr:nvSpPr>
        <xdr:cNvPr id="23" name="Rectangle 22">
          <a:extLst>
            <a:ext uri="{FF2B5EF4-FFF2-40B4-BE49-F238E27FC236}">
              <a16:creationId xmlns:a16="http://schemas.microsoft.com/office/drawing/2014/main" id="{772F40AC-27E3-EE9C-97B5-D3B422BFAA33}"/>
            </a:ext>
          </a:extLst>
        </xdr:cNvPr>
        <xdr:cNvSpPr/>
      </xdr:nvSpPr>
      <xdr:spPr>
        <a:xfrm>
          <a:off x="11906250" y="315515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0F06C3F-D709-49C6-B59A-338E8ABC032C}" type="TxLink">
            <a:rPr lang="en-US" sz="1100" b="1" i="0" u="none" strike="noStrike" kern="1200">
              <a:solidFill>
                <a:schemeClr val="bg1"/>
              </a:solidFill>
              <a:latin typeface="Aptos Narrow"/>
            </a:rPr>
            <a:pPr algn="ctr"/>
            <a:t>270.0</a:t>
          </a:fld>
          <a:endParaRPr lang="en-IN" sz="1600" b="1" kern="1200">
            <a:solidFill>
              <a:schemeClr val="bg1"/>
            </a:solidFill>
          </a:endParaRPr>
        </a:p>
      </xdr:txBody>
    </xdr:sp>
    <xdr:clientData/>
  </xdr:twoCellAnchor>
  <xdr:twoCellAnchor>
    <xdr:from>
      <xdr:col>15</xdr:col>
      <xdr:colOff>523875</xdr:colOff>
      <xdr:row>14</xdr:row>
      <xdr:rowOff>5953</xdr:rowOff>
    </xdr:from>
    <xdr:to>
      <xdr:col>16</xdr:col>
      <xdr:colOff>565547</xdr:colOff>
      <xdr:row>15</xdr:row>
      <xdr:rowOff>59532</xdr:rowOff>
    </xdr:to>
    <xdr:sp macro="" textlink="Analyse!B82">
      <xdr:nvSpPr>
        <xdr:cNvPr id="24" name="Rectangle 23">
          <a:extLst>
            <a:ext uri="{FF2B5EF4-FFF2-40B4-BE49-F238E27FC236}">
              <a16:creationId xmlns:a16="http://schemas.microsoft.com/office/drawing/2014/main" id="{9A0F9A34-0E40-C757-1438-69F372A3AACE}"/>
            </a:ext>
          </a:extLst>
        </xdr:cNvPr>
        <xdr:cNvSpPr/>
      </xdr:nvSpPr>
      <xdr:spPr>
        <a:xfrm>
          <a:off x="11846719" y="250626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F73C82C-7789-4501-87BB-0BCAFA44BE0B}" type="TxLink">
            <a:rPr lang="en-US" sz="1100" b="1" i="0" u="none" strike="noStrike" kern="1200">
              <a:solidFill>
                <a:schemeClr val="bg1"/>
              </a:solidFill>
              <a:latin typeface="Aptos Narrow"/>
            </a:rPr>
            <a:pPr algn="ctr"/>
            <a:t>244.3</a:t>
          </a:fld>
          <a:endParaRPr lang="en-IN" sz="1600" b="1" kern="1200">
            <a:solidFill>
              <a:schemeClr val="bg1"/>
            </a:solidFill>
          </a:endParaRPr>
        </a:p>
      </xdr:txBody>
    </xdr:sp>
    <xdr:clientData/>
  </xdr:twoCellAnchor>
  <xdr:twoCellAnchor>
    <xdr:from>
      <xdr:col>21</xdr:col>
      <xdr:colOff>333374</xdr:colOff>
      <xdr:row>25</xdr:row>
      <xdr:rowOff>157758</xdr:rowOff>
    </xdr:from>
    <xdr:to>
      <xdr:col>22</xdr:col>
      <xdr:colOff>136921</xdr:colOff>
      <xdr:row>26</xdr:row>
      <xdr:rowOff>17859</xdr:rowOff>
    </xdr:to>
    <xdr:cxnSp macro="">
      <xdr:nvCxnSpPr>
        <xdr:cNvPr id="26" name="Straight Arrow Connector 25">
          <a:extLst>
            <a:ext uri="{FF2B5EF4-FFF2-40B4-BE49-F238E27FC236}">
              <a16:creationId xmlns:a16="http://schemas.microsoft.com/office/drawing/2014/main" id="{9D449F23-67DB-2477-A02E-A9182E2093B0}"/>
            </a:ext>
          </a:extLst>
        </xdr:cNvPr>
        <xdr:cNvCxnSpPr>
          <a:stCxn id="9" idx="1"/>
        </xdr:cNvCxnSpPr>
      </xdr:nvCxnSpPr>
      <xdr:spPr>
        <a:xfrm flipH="1">
          <a:off x="14989968" y="4622602"/>
          <a:ext cx="434578" cy="38695"/>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595312</xdr:colOff>
      <xdr:row>16</xdr:row>
      <xdr:rowOff>65484</xdr:rowOff>
    </xdr:from>
    <xdr:to>
      <xdr:col>23</xdr:col>
      <xdr:colOff>145853</xdr:colOff>
      <xdr:row>18</xdr:row>
      <xdr:rowOff>29766</xdr:rowOff>
    </xdr:to>
    <xdr:cxnSp macro="">
      <xdr:nvCxnSpPr>
        <xdr:cNvPr id="28" name="Straight Arrow Connector 27">
          <a:extLst>
            <a:ext uri="{FF2B5EF4-FFF2-40B4-BE49-F238E27FC236}">
              <a16:creationId xmlns:a16="http://schemas.microsoft.com/office/drawing/2014/main" id="{303B194F-DE3F-B789-4EBE-5CD0C3DD1BA6}"/>
            </a:ext>
          </a:extLst>
        </xdr:cNvPr>
        <xdr:cNvCxnSpPr>
          <a:stCxn id="13" idx="0"/>
        </xdr:cNvCxnSpPr>
      </xdr:nvCxnSpPr>
      <xdr:spPr>
        <a:xfrm flipH="1" flipV="1">
          <a:off x="15882937" y="2922984"/>
          <a:ext cx="181572" cy="321470"/>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494109</xdr:colOff>
      <xdr:row>13</xdr:row>
      <xdr:rowOff>154783</xdr:rowOff>
    </xdr:from>
    <xdr:to>
      <xdr:col>23</xdr:col>
      <xdr:colOff>145853</xdr:colOff>
      <xdr:row>15</xdr:row>
      <xdr:rowOff>119063</xdr:rowOff>
    </xdr:to>
    <xdr:cxnSp macro="">
      <xdr:nvCxnSpPr>
        <xdr:cNvPr id="31" name="Straight Arrow Connector 30">
          <a:extLst>
            <a:ext uri="{FF2B5EF4-FFF2-40B4-BE49-F238E27FC236}">
              <a16:creationId xmlns:a16="http://schemas.microsoft.com/office/drawing/2014/main" id="{8BCB0C28-7E70-E771-E0E8-94142D4F5636}"/>
            </a:ext>
          </a:extLst>
        </xdr:cNvPr>
        <xdr:cNvCxnSpPr>
          <a:stCxn id="14" idx="2"/>
        </xdr:cNvCxnSpPr>
      </xdr:nvCxnSpPr>
      <xdr:spPr>
        <a:xfrm flipH="1">
          <a:off x="15781734" y="2476502"/>
          <a:ext cx="282775" cy="321467"/>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273844</xdr:colOff>
      <xdr:row>18</xdr:row>
      <xdr:rowOff>53578</xdr:rowOff>
    </xdr:from>
    <xdr:to>
      <xdr:col>22</xdr:col>
      <xdr:colOff>434578</xdr:colOff>
      <xdr:row>21</xdr:row>
      <xdr:rowOff>2977</xdr:rowOff>
    </xdr:to>
    <xdr:cxnSp macro="">
      <xdr:nvCxnSpPr>
        <xdr:cNvPr id="36" name="Straight Arrow Connector 35">
          <a:extLst>
            <a:ext uri="{FF2B5EF4-FFF2-40B4-BE49-F238E27FC236}">
              <a16:creationId xmlns:a16="http://schemas.microsoft.com/office/drawing/2014/main" id="{4D0F7084-F19D-DFF2-B894-E84AE1607506}"/>
            </a:ext>
          </a:extLst>
        </xdr:cNvPr>
        <xdr:cNvCxnSpPr>
          <a:stCxn id="11" idx="1"/>
        </xdr:cNvCxnSpPr>
      </xdr:nvCxnSpPr>
      <xdr:spPr>
        <a:xfrm flipH="1" flipV="1">
          <a:off x="15561469" y="3268266"/>
          <a:ext cx="160734" cy="485180"/>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541735</xdr:colOff>
      <xdr:row>13</xdr:row>
      <xdr:rowOff>104182</xdr:rowOff>
    </xdr:from>
    <xdr:to>
      <xdr:col>22</xdr:col>
      <xdr:colOff>345281</xdr:colOff>
      <xdr:row>15</xdr:row>
      <xdr:rowOff>89297</xdr:rowOff>
    </xdr:to>
    <xdr:cxnSp macro="">
      <xdr:nvCxnSpPr>
        <xdr:cNvPr id="38" name="Straight Arrow Connector 37">
          <a:extLst>
            <a:ext uri="{FF2B5EF4-FFF2-40B4-BE49-F238E27FC236}">
              <a16:creationId xmlns:a16="http://schemas.microsoft.com/office/drawing/2014/main" id="{12949C97-3884-52EE-9800-99B766D7186A}"/>
            </a:ext>
          </a:extLst>
        </xdr:cNvPr>
        <xdr:cNvCxnSpPr>
          <a:stCxn id="12" idx="3"/>
        </xdr:cNvCxnSpPr>
      </xdr:nvCxnSpPr>
      <xdr:spPr>
        <a:xfrm>
          <a:off x="15198329" y="2425901"/>
          <a:ext cx="434577" cy="342302"/>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511968</xdr:colOff>
      <xdr:row>19</xdr:row>
      <xdr:rowOff>148828</xdr:rowOff>
    </xdr:from>
    <xdr:to>
      <xdr:col>22</xdr:col>
      <xdr:colOff>363140</xdr:colOff>
      <xdr:row>22</xdr:row>
      <xdr:rowOff>169664</xdr:rowOff>
    </xdr:to>
    <xdr:cxnSp macro="">
      <xdr:nvCxnSpPr>
        <xdr:cNvPr id="40" name="Straight Arrow Connector 39">
          <a:extLst>
            <a:ext uri="{FF2B5EF4-FFF2-40B4-BE49-F238E27FC236}">
              <a16:creationId xmlns:a16="http://schemas.microsoft.com/office/drawing/2014/main" id="{AD43DB4B-2F48-FA65-2178-A6A3C4E5DB58}"/>
            </a:ext>
          </a:extLst>
        </xdr:cNvPr>
        <xdr:cNvCxnSpPr>
          <a:stCxn id="15" idx="1"/>
        </xdr:cNvCxnSpPr>
      </xdr:nvCxnSpPr>
      <xdr:spPr>
        <a:xfrm flipH="1" flipV="1">
          <a:off x="15168562" y="3542109"/>
          <a:ext cx="482203" cy="556618"/>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101203</xdr:colOff>
      <xdr:row>12</xdr:row>
      <xdr:rowOff>154781</xdr:rowOff>
    </xdr:from>
    <xdr:to>
      <xdr:col>13</xdr:col>
      <xdr:colOff>142875</xdr:colOff>
      <xdr:row>14</xdr:row>
      <xdr:rowOff>29765</xdr:rowOff>
    </xdr:to>
    <xdr:sp macro="" textlink="Analyse!B87">
      <xdr:nvSpPr>
        <xdr:cNvPr id="41" name="Rectangle 40">
          <a:extLst>
            <a:ext uri="{FF2B5EF4-FFF2-40B4-BE49-F238E27FC236}">
              <a16:creationId xmlns:a16="http://schemas.microsoft.com/office/drawing/2014/main" id="{6EDFBB96-7CBC-7B0E-2CAA-B15BDD8492D6}"/>
            </a:ext>
          </a:extLst>
        </xdr:cNvPr>
        <xdr:cNvSpPr/>
      </xdr:nvSpPr>
      <xdr:spPr>
        <a:xfrm>
          <a:off x="9530953" y="229790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2573DCF-0766-4031-86D7-C81645DC2C45}" type="TxLink">
            <a:rPr lang="en-US" sz="1100" b="1" i="0" u="none" strike="noStrike" kern="1200">
              <a:solidFill>
                <a:schemeClr val="bg1"/>
              </a:solidFill>
              <a:latin typeface="Aptos Narrow"/>
            </a:rPr>
            <a:pPr algn="ctr"/>
            <a:t>451.0</a:t>
          </a:fld>
          <a:endParaRPr lang="en-IN" sz="1600" b="1" kern="1200">
            <a:solidFill>
              <a:schemeClr val="bg1"/>
            </a:solidFill>
          </a:endParaRPr>
        </a:p>
      </xdr:txBody>
    </xdr:sp>
    <xdr:clientData/>
  </xdr:twoCellAnchor>
  <xdr:twoCellAnchor>
    <xdr:from>
      <xdr:col>11</xdr:col>
      <xdr:colOff>59531</xdr:colOff>
      <xdr:row>25</xdr:row>
      <xdr:rowOff>130969</xdr:rowOff>
    </xdr:from>
    <xdr:to>
      <xdr:col>15</xdr:col>
      <xdr:colOff>23812</xdr:colOff>
      <xdr:row>27</xdr:row>
      <xdr:rowOff>83345</xdr:rowOff>
    </xdr:to>
    <xdr:sp macro="" textlink="">
      <xdr:nvSpPr>
        <xdr:cNvPr id="42" name="Rectangle 41">
          <a:extLst>
            <a:ext uri="{FF2B5EF4-FFF2-40B4-BE49-F238E27FC236}">
              <a16:creationId xmlns:a16="http://schemas.microsoft.com/office/drawing/2014/main" id="{2B172C44-EF6D-2A1F-23FD-7F852F993198}"/>
            </a:ext>
          </a:extLst>
        </xdr:cNvPr>
        <xdr:cNvSpPr/>
      </xdr:nvSpPr>
      <xdr:spPr>
        <a:xfrm>
          <a:off x="8858250" y="4595813"/>
          <a:ext cx="2488406" cy="30956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kern="1200">
              <a:solidFill>
                <a:schemeClr val="bg1"/>
              </a:solidFill>
            </a:rPr>
            <a:t>Average Internet Speed (in MBPS) </a:t>
          </a:r>
        </a:p>
      </xdr:txBody>
    </xdr:sp>
    <xdr:clientData/>
  </xdr:twoCellAnchor>
  <xdr:twoCellAnchor editAs="oneCell">
    <xdr:from>
      <xdr:col>8</xdr:col>
      <xdr:colOff>336947</xdr:colOff>
      <xdr:row>37</xdr:row>
      <xdr:rowOff>83346</xdr:rowOff>
    </xdr:from>
    <xdr:to>
      <xdr:col>8</xdr:col>
      <xdr:colOff>1159907</xdr:colOff>
      <xdr:row>42</xdr:row>
      <xdr:rowOff>13337</xdr:rowOff>
    </xdr:to>
    <xdr:pic>
      <xdr:nvPicPr>
        <xdr:cNvPr id="44" name="Picture 43">
          <a:extLst>
            <a:ext uri="{FF2B5EF4-FFF2-40B4-BE49-F238E27FC236}">
              <a16:creationId xmlns:a16="http://schemas.microsoft.com/office/drawing/2014/main" id="{84F8780D-B4CF-6F1D-0EF2-E4794C3AD86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42447" y="6691315"/>
          <a:ext cx="822960" cy="822960"/>
        </a:xfrm>
        <a:prstGeom prst="rect">
          <a:avLst/>
        </a:prstGeom>
      </xdr:spPr>
    </xdr:pic>
    <xdr:clientData/>
  </xdr:twoCellAnchor>
  <xdr:twoCellAnchor editAs="oneCell">
    <xdr:from>
      <xdr:col>7</xdr:col>
      <xdr:colOff>78563</xdr:colOff>
      <xdr:row>37</xdr:row>
      <xdr:rowOff>78562</xdr:rowOff>
    </xdr:from>
    <xdr:to>
      <xdr:col>7</xdr:col>
      <xdr:colOff>901523</xdr:colOff>
      <xdr:row>42</xdr:row>
      <xdr:rowOff>8553</xdr:rowOff>
    </xdr:to>
    <xdr:pic>
      <xdr:nvPicPr>
        <xdr:cNvPr id="46" name="Picture 45">
          <a:extLst>
            <a:ext uri="{FF2B5EF4-FFF2-40B4-BE49-F238E27FC236}">
              <a16:creationId xmlns:a16="http://schemas.microsoft.com/office/drawing/2014/main" id="{753F6DA7-93C4-BE7D-6980-50DF893BBAE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07751" y="6686531"/>
          <a:ext cx="822960" cy="822960"/>
        </a:xfrm>
        <a:prstGeom prst="rect">
          <a:avLst/>
        </a:prstGeom>
      </xdr:spPr>
    </xdr:pic>
    <xdr:clientData/>
  </xdr:twoCellAnchor>
  <xdr:twoCellAnchor editAs="oneCell">
    <xdr:from>
      <xdr:col>6</xdr:col>
      <xdr:colOff>139266</xdr:colOff>
      <xdr:row>37</xdr:row>
      <xdr:rowOff>85687</xdr:rowOff>
    </xdr:from>
    <xdr:to>
      <xdr:col>6</xdr:col>
      <xdr:colOff>962226</xdr:colOff>
      <xdr:row>42</xdr:row>
      <xdr:rowOff>15678</xdr:rowOff>
    </xdr:to>
    <xdr:pic>
      <xdr:nvPicPr>
        <xdr:cNvPr id="48" name="Picture 47">
          <a:extLst>
            <a:ext uri="{FF2B5EF4-FFF2-40B4-BE49-F238E27FC236}">
              <a16:creationId xmlns:a16="http://schemas.microsoft.com/office/drawing/2014/main" id="{B221E61B-2FFE-8172-7F7F-A8C977B3E79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996891" y="6693656"/>
          <a:ext cx="822960" cy="822960"/>
        </a:xfrm>
        <a:prstGeom prst="rect">
          <a:avLst/>
        </a:prstGeom>
      </xdr:spPr>
    </xdr:pic>
    <xdr:clientData/>
  </xdr:twoCellAnchor>
  <xdr:twoCellAnchor editAs="oneCell">
    <xdr:from>
      <xdr:col>5</xdr:col>
      <xdr:colOff>223780</xdr:colOff>
      <xdr:row>37</xdr:row>
      <xdr:rowOff>80905</xdr:rowOff>
    </xdr:from>
    <xdr:to>
      <xdr:col>5</xdr:col>
      <xdr:colOff>1046740</xdr:colOff>
      <xdr:row>42</xdr:row>
      <xdr:rowOff>10896</xdr:rowOff>
    </xdr:to>
    <xdr:pic>
      <xdr:nvPicPr>
        <xdr:cNvPr id="65" name="Picture 64">
          <a:extLst>
            <a:ext uri="{FF2B5EF4-FFF2-40B4-BE49-F238E27FC236}">
              <a16:creationId xmlns:a16="http://schemas.microsoft.com/office/drawing/2014/main" id="{31FCA8D7-A450-2FDB-77CC-9F1985D476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789578" y="6688874"/>
          <a:ext cx="822960" cy="822960"/>
        </a:xfrm>
        <a:prstGeom prst="rect">
          <a:avLst/>
        </a:prstGeom>
      </xdr:spPr>
    </xdr:pic>
    <xdr:clientData/>
  </xdr:twoCellAnchor>
  <xdr:twoCellAnchor editAs="oneCell">
    <xdr:from>
      <xdr:col>4</xdr:col>
      <xdr:colOff>70173</xdr:colOff>
      <xdr:row>37</xdr:row>
      <xdr:rowOff>70171</xdr:rowOff>
    </xdr:from>
    <xdr:to>
      <xdr:col>4</xdr:col>
      <xdr:colOff>893133</xdr:colOff>
      <xdr:row>42</xdr:row>
      <xdr:rowOff>162</xdr:rowOff>
    </xdr:to>
    <xdr:pic>
      <xdr:nvPicPr>
        <xdr:cNvPr id="68" name="Picture 67">
          <a:extLst>
            <a:ext uri="{FF2B5EF4-FFF2-40B4-BE49-F238E27FC236}">
              <a16:creationId xmlns:a16="http://schemas.microsoft.com/office/drawing/2014/main" id="{EA634B28-331F-D4A9-166A-361E40353F2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89423" y="6678140"/>
          <a:ext cx="822960" cy="8229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200025</xdr:colOff>
      <xdr:row>1</xdr:row>
      <xdr:rowOff>204787</xdr:rowOff>
    </xdr:from>
    <xdr:to>
      <xdr:col>1</xdr:col>
      <xdr:colOff>1165225</xdr:colOff>
      <xdr:row>5</xdr:row>
      <xdr:rowOff>65087</xdr:rowOff>
    </xdr:to>
    <xdr:pic macro="[0]!Home">
      <xdr:nvPicPr>
        <xdr:cNvPr id="5" name="Picture 4">
          <a:extLst>
            <a:ext uri="{FF2B5EF4-FFF2-40B4-BE49-F238E27FC236}">
              <a16:creationId xmlns:a16="http://schemas.microsoft.com/office/drawing/2014/main" id="{472B0189-0A12-5F1E-63C1-4592DD057F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 y="471487"/>
          <a:ext cx="965200" cy="9271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eet saddi" refreshedDate="45629.957627314812" createdVersion="8" refreshedVersion="8" minRefreshableVersion="3" recordCount="15" xr:uid="{9EE838E9-39A3-487C-A205-D86F5B2F0E21}">
  <cacheSource type="worksheet">
    <worksheetSource name="Table1"/>
  </cacheSource>
  <cacheFields count="16">
    <cacheField name="Rankings" numFmtId="1">
      <sharedItems containsSemiMixedTypes="0" containsString="0" containsNumber="1" containsInteger="1" minValue="1" maxValue="15"/>
    </cacheField>
    <cacheField name="State" numFmtId="0">
      <sharedItems count="15">
        <s v="Utah"/>
        <s v="New Hampshire"/>
        <s v="Nebraska"/>
        <s v="Minnesota"/>
        <s v="Idaho"/>
        <s v="Iowa"/>
        <s v="Vermont"/>
        <s v="Washington"/>
        <s v="Florida"/>
        <s v="Massachusetts"/>
        <s v="South Dakota"/>
        <s v="Wyoming"/>
        <s v="Virginia"/>
        <s v="New Jersey"/>
        <s v="North Dakota"/>
      </sharedItems>
    </cacheField>
    <cacheField name="Capital City" numFmtId="0">
      <sharedItems/>
    </cacheField>
    <cacheField name="Area (in SQ. MI.)" numFmtId="1">
      <sharedItems containsSemiMixedTypes="0" containsString="0" containsNumber="1" containsInteger="1" minValue="8719" maxValue="97810"/>
    </cacheField>
    <cacheField name="GDP (in Billions)" numFmtId="167">
      <sharedItems containsSemiMixedTypes="0" containsString="0" containsNumber="1" containsInteger="1" minValue="43" maxValue="1580"/>
    </cacheField>
    <cacheField name="Population" numFmtId="1">
      <sharedItems containsSemiMixedTypes="0" containsString="0" containsNumber="1" containsInteger="1" minValue="584057" maxValue="22610726"/>
    </cacheField>
    <cacheField name="Median Income" numFmtId="164">
      <sharedItems containsSemiMixedTypes="0" containsString="0" containsNumber="1" containsInteger="1" minValue="37395" maxValue="52528"/>
    </cacheField>
    <cacheField name="Job Growth Rate" numFmtId="10">
      <sharedItems containsSemiMixedTypes="0" containsString="0" containsNumber="1" minValue="0.01" maxValue="4.8000000000000001E-2"/>
    </cacheField>
    <cacheField name="Net Migration Rate" numFmtId="10">
      <sharedItems containsSemiMixedTypes="0" containsString="0" containsNumber="1" minValue="-1E-3" maxValue="1.7999999999999999E-2"/>
    </cacheField>
    <cacheField name="Obesity Rate" numFmtId="165">
      <sharedItems containsSemiMixedTypes="0" containsString="0" containsNumber="1" minValue="0.26400000000000001" maxValue="0.373"/>
    </cacheField>
    <cacheField name="Poverty Rate" numFmtId="165">
      <sharedItems containsSemiMixedTypes="0" containsString="0" containsNumber="1" minValue="7.1999999999999995E-2" maxValue="0.127"/>
    </cacheField>
    <cacheField name="Graduation Rate" numFmtId="10">
      <sharedItems containsSemiMixedTypes="0" containsString="0" containsNumber="1" minValue="0.41599999999999998" maxValue="0.54"/>
    </cacheField>
    <cacheField name="Air Quality Index" numFmtId="166">
      <sharedItems containsMixedTypes="1" containsNumber="1" minValue="37" maxValue="51.2"/>
    </cacheField>
    <cacheField name="Average Cost of Living Index" numFmtId="166">
      <sharedItems containsSemiMixedTypes="0" containsString="0" containsNumber="1" minValue="89.06" maxValue="126.13"/>
    </cacheField>
    <cacheField name="Average Internet Speed (in MBPS)" numFmtId="166">
      <sharedItems containsSemiMixedTypes="0" containsString="0" containsNumber="1" minValue="191.7" maxValue="505.6"/>
    </cacheField>
    <cacheField name="Crime Rate" numFmtId="10">
      <sharedItems containsSemiMixedTypes="0" containsString="0" containsNumber="1" minValue="2.3439999999999999E-2" maxValue="5.7590000000000002E-2"/>
    </cacheField>
  </cacheFields>
  <extLst>
    <ext xmlns:x14="http://schemas.microsoft.com/office/spreadsheetml/2009/9/main" uri="{725AE2AE-9491-48be-B2B4-4EB974FC3084}">
      <x14:pivotCacheDefinition pivotCacheId="462612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Salt Lake City"/>
    <n v="84898"/>
    <n v="273"/>
    <n v="3417734"/>
    <n v="40959"/>
    <n v="3.6999999999999998E-2"/>
    <n v="6.0000000000000001E-3"/>
    <n v="0.313"/>
    <n v="8.2000000000000003E-2"/>
    <n v="0.47899999999999998"/>
    <n v="51.2"/>
    <n v="102.9"/>
    <n v="314.10000000000002"/>
    <n v="5.1900000000000002E-2"/>
  </r>
  <r>
    <n v="2"/>
    <x v="1"/>
    <s v="Concord"/>
    <n v="9350"/>
    <n v="111"/>
    <n v="1402054"/>
    <n v="49617"/>
    <n v="1.4999999999999999E-2"/>
    <n v="7.0000000000000001E-3"/>
    <n v="0.29799999999999999"/>
    <n v="7.1999999999999995E-2"/>
    <n v="0.50600000000000001"/>
    <n v="38.9"/>
    <n v="110.46"/>
    <n v="317.89999999999998"/>
    <n v="2.3439999999999999E-2"/>
  </r>
  <r>
    <n v="3"/>
    <x v="2"/>
    <s v="Lincoln"/>
    <n v="77347"/>
    <n v="178"/>
    <n v="1978379"/>
    <n v="41403"/>
    <n v="0.01"/>
    <n v="0"/>
    <n v="0.35099999999999998"/>
    <n v="0.112"/>
    <n v="0.46200000000000002"/>
    <n v="37"/>
    <n v="95.21"/>
    <n v="270"/>
    <n v="4.1520000000000001E-2"/>
  </r>
  <r>
    <n v="4"/>
    <x v="3"/>
    <s v="St. Paul"/>
    <n v="86943"/>
    <n v="472"/>
    <n v="5737915"/>
    <n v="47393"/>
    <n v="0.01"/>
    <n v="-1E-3"/>
    <n v="0.33900000000000002"/>
    <n v="9.6000000000000002E-2"/>
    <n v="0.51"/>
    <n v="38.299999999999997"/>
    <n v="93.48"/>
    <n v="304.2"/>
    <n v="4.5269999999999998E-2"/>
  </r>
  <r>
    <n v="5"/>
    <x v="4"/>
    <s v="Boise"/>
    <n v="83569"/>
    <n v="119"/>
    <n v="1964726"/>
    <n v="37395"/>
    <n v="3.1E-2"/>
    <n v="1.7999999999999999E-2"/>
    <n v="0.33200000000000002"/>
    <n v="0.107"/>
    <n v="0.42099999999999999"/>
    <n v="44.3"/>
    <n v="97.38"/>
    <n v="230.1"/>
    <n v="2.4660000000000001E-2"/>
  </r>
  <r>
    <n v="6"/>
    <x v="5"/>
    <s v="Des Moines"/>
    <n v="56273"/>
    <n v="249"/>
    <n v="3207004"/>
    <n v="41625"/>
    <n v="1.6E-2"/>
    <n v="1E-3"/>
    <n v="0.373"/>
    <n v="0.126"/>
    <n v="0.443"/>
    <n v="37.6"/>
    <n v="89.06"/>
    <n v="193.9"/>
    <n v="2.4660000000000001E-2"/>
  </r>
  <r>
    <n v="7"/>
    <x v="6"/>
    <s v="Montpelier"/>
    <n v="9615"/>
    <n v="43"/>
    <n v="647464"/>
    <n v="42147"/>
    <n v="2.3E-2"/>
    <n v="5.0000000000000001E-3"/>
    <n v="0.26400000000000001"/>
    <n v="0.104"/>
    <n v="0.53"/>
    <n v="38.5"/>
    <n v="112.39"/>
    <n v="408.2"/>
    <n v="2.6069999999999999E-2"/>
  </r>
  <r>
    <n v="8"/>
    <x v="7"/>
    <s v="Olympia"/>
    <n v="71301"/>
    <n v="802"/>
    <n v="7812880"/>
    <n v="51640"/>
    <n v="2.7E-2"/>
    <n v="2E-3"/>
    <n v="0.317"/>
    <n v="0.1"/>
    <n v="0.495"/>
    <s v="_x0009_33.5"/>
    <n v="118.07"/>
    <n v="451"/>
    <n v="5.7590000000000002E-2"/>
  </r>
  <r>
    <n v="9"/>
    <x v="8"/>
    <s v="Tallahassee"/>
    <n v="71404"/>
    <n v="1580"/>
    <n v="22610726"/>
    <n v="39920"/>
    <n v="4.8000000000000001E-2"/>
    <n v="1.7000000000000001E-2"/>
    <n v="0.315"/>
    <n v="0.127"/>
    <n v="0.44500000000000001"/>
    <n v="38.9"/>
    <n v="109.35"/>
    <n v="322.3"/>
    <n v="3.9219999999999998E-2"/>
  </r>
  <r>
    <n v="10"/>
    <x v="9"/>
    <s v="Boston"/>
    <n v="10554"/>
    <n v="734"/>
    <n v="7001399"/>
    <n v="52528"/>
    <n v="2.1999999999999999E-2"/>
    <n v="-1E-3"/>
    <n v="0.26800000000000002"/>
    <n v="0.104"/>
    <n v="0.54"/>
    <n v="41.4"/>
    <n v="126.13"/>
    <n v="401.2"/>
    <n v="2.4150000000000001E-2"/>
  </r>
  <r>
    <n v="11"/>
    <x v="10"/>
    <s v="Pierre"/>
    <n v="77116"/>
    <n v="72"/>
    <n v="919318"/>
    <n v="40978"/>
    <n v="1.9E-2"/>
    <n v="8.9999999999999993E-3"/>
    <n v="0.37"/>
    <n v="0.125"/>
    <n v="0.44800000000000001"/>
    <n v="39.6"/>
    <n v="93.14"/>
    <n v="191.7"/>
    <n v="4.4150000000000002E-2"/>
  </r>
  <r>
    <n v="12"/>
    <x v="11"/>
    <s v="Cheyenne"/>
    <n v="97810"/>
    <n v="50"/>
    <n v="584057"/>
    <n v="39954"/>
    <n v="1.2E-2"/>
    <n v="4.0000000000000001E-3"/>
    <n v="0.34399999999999997"/>
    <n v="0.11799999999999999"/>
    <n v="0.41599999999999998"/>
    <s v="_x0009_45.0"/>
    <n v="92.44"/>
    <n v="203.2"/>
    <n v="3.4549999999999997E-2"/>
  </r>
  <r>
    <n v="13"/>
    <x v="12"/>
    <s v="Richmond"/>
    <n v="42775"/>
    <n v="707"/>
    <n v="8715698"/>
    <n v="48178"/>
    <n v="0.03"/>
    <n v="2E-3"/>
    <n v="0.34799999999999998"/>
    <n v="0.106"/>
    <n v="0.498"/>
    <n v="45"/>
    <n v="102.85"/>
    <n v="505.6"/>
    <n v="3.1210000000000002E-2"/>
  </r>
  <r>
    <n v="14"/>
    <x v="13"/>
    <s v="Trenton"/>
    <n v="8719"/>
    <n v="799"/>
    <n v="9290841"/>
    <n v="51884"/>
    <n v="3.2000000000000001E-2"/>
    <n v="-1E-3"/>
    <n v="0.28799999999999998"/>
    <n v="9.7000000000000003E-2"/>
    <n v="0.502"/>
    <n v="44.1"/>
    <n v="111.04"/>
    <n v="427.8"/>
    <n v="2.512E-2"/>
  </r>
  <r>
    <n v="15"/>
    <x v="14"/>
    <s v="Bismarck"/>
    <n v="70699"/>
    <n v="74"/>
    <n v="783926"/>
    <n v="42807"/>
    <n v="1.7000000000000001E-2"/>
    <n v="-1E-3"/>
    <n v="0.35599999999999998"/>
    <n v="0.115"/>
    <n v="0.46"/>
    <n v="37"/>
    <n v="92.49"/>
    <n v="244.3"/>
    <n v="4.5769999999999998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7B0F58-12B8-45D0-96B0-8F144775E8F7}"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6" rowHeaderCaption="State">
  <location ref="E13:J28" firstHeaderRow="0" firstDataRow="1" firstDataCol="1"/>
  <pivotFields count="16">
    <pivotField compact="0" numFmtId="1" outline="0" showAll="0"/>
    <pivotField axis="axisRow" compact="0" outline="0" showAll="0">
      <items count="16">
        <item x="8"/>
        <item x="4"/>
        <item x="5"/>
        <item x="9"/>
        <item x="3"/>
        <item x="2"/>
        <item x="1"/>
        <item x="13"/>
        <item x="14"/>
        <item x="10"/>
        <item x="0"/>
        <item x="6"/>
        <item x="12"/>
        <item x="7"/>
        <item x="11"/>
        <item t="default"/>
      </items>
    </pivotField>
    <pivotField compact="0" outline="0" showAll="0"/>
    <pivotField compact="0" outline="0" showAll="0"/>
    <pivotField dataField="1" compact="0" numFmtId="167" outline="0" showAll="0"/>
    <pivotField dataField="1" compact="0" numFmtId="1" outline="0" showAll="0"/>
    <pivotField dataField="1" compact="0" numFmtId="164" outline="0" showAll="0"/>
    <pivotField dataField="1" compact="0" numFmtId="10" outline="0" showAll="0"/>
    <pivotField dataField="1" compact="0" numFmtId="10" outline="0" showAll="0"/>
    <pivotField compact="0" numFmtId="165" outline="0" showAll="0"/>
    <pivotField compact="0" numFmtId="165" outline="0" showAll="0"/>
    <pivotField compact="0" numFmtId="10" outline="0" showAll="0"/>
    <pivotField compact="0" outline="0" showAll="0"/>
    <pivotField compact="0" numFmtId="166" outline="0" showAll="0"/>
    <pivotField compact="0" numFmtId="166" outline="0" showAll="0"/>
    <pivotField compact="0" numFmtId="10" outline="0" showAll="0"/>
  </pivotFields>
  <rowFields count="1">
    <field x="1"/>
  </rowFields>
  <rowItems count="15">
    <i>
      <x/>
    </i>
    <i>
      <x v="1"/>
    </i>
    <i>
      <x v="2"/>
    </i>
    <i>
      <x v="3"/>
    </i>
    <i>
      <x v="4"/>
    </i>
    <i>
      <x v="5"/>
    </i>
    <i>
      <x v="6"/>
    </i>
    <i>
      <x v="7"/>
    </i>
    <i>
      <x v="8"/>
    </i>
    <i>
      <x v="9"/>
    </i>
    <i>
      <x v="10"/>
    </i>
    <i>
      <x v="11"/>
    </i>
    <i>
      <x v="12"/>
    </i>
    <i>
      <x v="13"/>
    </i>
    <i>
      <x v="14"/>
    </i>
  </rowItems>
  <colFields count="1">
    <field x="-2"/>
  </colFields>
  <colItems count="5">
    <i>
      <x/>
    </i>
    <i i="1">
      <x v="1"/>
    </i>
    <i i="2">
      <x v="2"/>
    </i>
    <i i="3">
      <x v="3"/>
    </i>
    <i i="4">
      <x v="4"/>
    </i>
  </colItems>
  <dataFields count="5">
    <dataField name="Total GDP (in Billions)" fld="4" baseField="1" baseItem="0" numFmtId="167"/>
    <dataField name="Total Population" fld="5" baseField="1" baseItem="0" numFmtId="4"/>
    <dataField name="Average Income" fld="6" subtotal="average" baseField="1" baseItem="0" numFmtId="164"/>
    <dataField name="Average Job Growth Rate" fld="7" subtotal="average" baseField="1" baseItem="0" numFmtId="10"/>
    <dataField name="Average Migration Rate" fld="8" subtotal="average" baseField="1" baseItem="0" numFmtId="10"/>
  </dataFields>
  <formats count="46">
    <format dxfId="129">
      <pivotArea type="all" dataOnly="0" outline="0" fieldPosition="0"/>
    </format>
    <format dxfId="128">
      <pivotArea outline="0" collapsedLevelsAreSubtotals="1" fieldPosition="0"/>
    </format>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fieldPosition="0">
        <references count="1">
          <reference field="1" count="0"/>
        </references>
      </pivotArea>
    </format>
    <format dxfId="123">
      <pivotArea dataOnly="0" labelOnly="1" outline="0" fieldPosition="0">
        <references count="1">
          <reference field="4294967294" count="5">
            <x v="0"/>
            <x v="1"/>
            <x v="2"/>
            <x v="3"/>
            <x v="4"/>
          </reference>
        </references>
      </pivotArea>
    </format>
    <format dxfId="122">
      <pivotArea field="1" type="button" dataOnly="0" labelOnly="1" outline="0" axis="axisRow" fieldPosition="0"/>
    </format>
    <format dxfId="121">
      <pivotArea dataOnly="0" labelOnly="1" outline="0" fieldPosition="0">
        <references count="1">
          <reference field="4294967294" count="5">
            <x v="0"/>
            <x v="1"/>
            <x v="2"/>
            <x v="3"/>
            <x v="4"/>
          </reference>
        </references>
      </pivotArea>
    </format>
    <format dxfId="120">
      <pivotArea dataOnly="0" labelOnly="1" fieldPosition="0">
        <references count="1">
          <reference field="1" count="0"/>
        </references>
      </pivotArea>
    </format>
    <format dxfId="119">
      <pivotArea field="1" type="button" dataOnly="0" labelOnly="1" outline="0" axis="axisRow" fieldPosition="0"/>
    </format>
    <format dxfId="118">
      <pivotArea dataOnly="0" labelOnly="1" outline="0" fieldPosition="0">
        <references count="1">
          <reference field="4294967294" count="5">
            <x v="0"/>
            <x v="1"/>
            <x v="2"/>
            <x v="3"/>
            <x v="4"/>
          </reference>
        </references>
      </pivotArea>
    </format>
    <format dxfId="117">
      <pivotArea field="1" type="button" dataOnly="0" labelOnly="1" outline="0" axis="axisRow" fieldPosition="0"/>
    </format>
    <format dxfId="116">
      <pivotArea dataOnly="0" labelOnly="1" outline="0" fieldPosition="0">
        <references count="1">
          <reference field="4294967294" count="5">
            <x v="0"/>
            <x v="1"/>
            <x v="2"/>
            <x v="3"/>
            <x v="4"/>
          </reference>
        </references>
      </pivotArea>
    </format>
    <format dxfId="115">
      <pivotArea outline="0" fieldPosition="0">
        <references count="1">
          <reference field="4294967294" count="1" selected="0">
            <x v="1"/>
          </reference>
        </references>
      </pivotArea>
    </format>
    <format dxfId="114">
      <pivotArea type="all" dataOnly="0" outline="0" fieldPosition="0"/>
    </format>
    <format dxfId="113">
      <pivotArea outline="0" collapsedLevelsAreSubtotals="1" fieldPosition="0"/>
    </format>
    <format dxfId="112">
      <pivotArea field="1" type="button" dataOnly="0" labelOnly="1" outline="0" axis="axisRow" fieldPosition="0"/>
    </format>
    <format dxfId="111">
      <pivotArea dataOnly="0" labelOnly="1" outline="0" fieldPosition="0">
        <references count="1">
          <reference field="1" count="0"/>
        </references>
      </pivotArea>
    </format>
    <format dxfId="110">
      <pivotArea dataOnly="0" labelOnly="1" outline="0" fieldPosition="0">
        <references count="1">
          <reference field="4294967294" count="5">
            <x v="0"/>
            <x v="1"/>
            <x v="2"/>
            <x v="3"/>
            <x v="4"/>
          </reference>
        </references>
      </pivotArea>
    </format>
    <format dxfId="109">
      <pivotArea field="1" type="button" dataOnly="0" labelOnly="1" outline="0" axis="axisRow" fieldPosition="0"/>
    </format>
    <format dxfId="108">
      <pivotArea dataOnly="0" labelOnly="1" outline="0" fieldPosition="0">
        <references count="1">
          <reference field="4294967294" count="5">
            <x v="0"/>
            <x v="1"/>
            <x v="2"/>
            <x v="3"/>
            <x v="4"/>
          </reference>
        </references>
      </pivotArea>
    </format>
    <format dxfId="107">
      <pivotArea outline="0" collapsedLevelsAreSubtotals="1" fieldPosition="0"/>
    </format>
    <format dxfId="106">
      <pivotArea dataOnly="0" labelOnly="1" outline="0" fieldPosition="0">
        <references count="1">
          <reference field="1" count="0"/>
        </references>
      </pivotArea>
    </format>
    <format dxfId="105">
      <pivotArea dataOnly="0" labelOnly="1" outline="0" fieldPosition="0">
        <references count="1">
          <reference field="1" count="0"/>
        </references>
      </pivotArea>
    </format>
    <format dxfId="104">
      <pivotArea outline="0" collapsedLevelsAreSubtotals="1" fieldPosition="0"/>
    </format>
    <format dxfId="103">
      <pivotArea type="all" dataOnly="0" outline="0" fieldPosition="0"/>
    </format>
    <format dxfId="102">
      <pivotArea outline="0" collapsedLevelsAreSubtotals="1" fieldPosition="0"/>
    </format>
    <format dxfId="101">
      <pivotArea field="1" type="button" dataOnly="0" labelOnly="1" outline="0" axis="axisRow" fieldPosition="0"/>
    </format>
    <format dxfId="100">
      <pivotArea dataOnly="0" labelOnly="1" outline="0" fieldPosition="0">
        <references count="1">
          <reference field="1" count="0"/>
        </references>
      </pivotArea>
    </format>
    <format dxfId="99">
      <pivotArea dataOnly="0" labelOnly="1" outline="0" fieldPosition="0">
        <references count="1">
          <reference field="4294967294" count="5">
            <x v="0"/>
            <x v="1"/>
            <x v="2"/>
            <x v="3"/>
            <x v="4"/>
          </reference>
        </references>
      </pivotArea>
    </format>
    <format dxfId="98">
      <pivotArea type="all" dataOnly="0" outline="0" fieldPosition="0"/>
    </format>
    <format dxfId="97">
      <pivotArea outline="0" collapsedLevelsAreSubtotals="1" fieldPosition="0"/>
    </format>
    <format dxfId="96">
      <pivotArea field="1" type="button" dataOnly="0" labelOnly="1" outline="0" axis="axisRow" fieldPosition="0"/>
    </format>
    <format dxfId="95">
      <pivotArea dataOnly="0" labelOnly="1" outline="0" fieldPosition="0">
        <references count="1">
          <reference field="1" count="0"/>
        </references>
      </pivotArea>
    </format>
    <format dxfId="94">
      <pivotArea dataOnly="0" labelOnly="1" outline="0" fieldPosition="0">
        <references count="1">
          <reference field="4294967294" count="5">
            <x v="0"/>
            <x v="1"/>
            <x v="2"/>
            <x v="3"/>
            <x v="4"/>
          </reference>
        </references>
      </pivotArea>
    </format>
    <format dxfId="93">
      <pivotArea type="all" dataOnly="0" outline="0" fieldPosition="0"/>
    </format>
    <format dxfId="92">
      <pivotArea outline="0" collapsedLevelsAreSubtotals="1" fieldPosition="0"/>
    </format>
    <format dxfId="91">
      <pivotArea field="1" type="button" dataOnly="0" labelOnly="1" outline="0" axis="axisRow" fieldPosition="0"/>
    </format>
    <format dxfId="90">
      <pivotArea dataOnly="0" labelOnly="1" outline="0" fieldPosition="0">
        <references count="1">
          <reference field="1" count="0"/>
        </references>
      </pivotArea>
    </format>
    <format dxfId="89">
      <pivotArea dataOnly="0" labelOnly="1" outline="0" fieldPosition="0">
        <references count="1">
          <reference field="4294967294" count="5">
            <x v="0"/>
            <x v="1"/>
            <x v="2"/>
            <x v="3"/>
            <x v="4"/>
          </reference>
        </references>
      </pivotArea>
    </format>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outline="0" fieldPosition="0">
        <references count="1">
          <reference field="1" count="0"/>
        </references>
      </pivotArea>
    </format>
    <format dxfId="84">
      <pivotArea dataOnly="0" labelOnly="1" outline="0" fieldPosition="0">
        <references count="1">
          <reference field="4294967294" count="5">
            <x v="0"/>
            <x v="1"/>
            <x v="2"/>
            <x v="3"/>
            <x v="4"/>
          </reference>
        </references>
      </pivotArea>
    </format>
  </formats>
  <conditionalFormats count="5">
    <conditionalFormat priority="1">
      <pivotAreas count="1">
        <pivotArea type="data" outline="0" collapsedLevelsAreSubtotals="1" fieldPosition="0">
          <references count="1">
            <reference field="4294967294" count="1" selected="0">
              <x v="2"/>
            </reference>
          </references>
        </pivotArea>
      </pivotAreas>
    </conditionalFormat>
    <conditionalFormat priority="2">
      <pivotAreas count="1">
        <pivotArea type="data" outline="0" collapsedLevelsAreSubtotals="1" fieldPosition="0">
          <references count="1">
            <reference field="4294967294" count="1" selected="0">
              <x v="4"/>
            </reference>
          </references>
        </pivotArea>
      </pivotAreas>
    </conditionalFormat>
    <conditionalFormat priority="3">
      <pivotAreas count="1">
        <pivotArea type="data" outline="0" collapsedLevelsAreSubtotals="1" fieldPosition="0">
          <references count="1">
            <reference field="4294967294" count="1" selected="0">
              <x v="3"/>
            </reference>
          </references>
        </pivotArea>
      </pivotAreas>
    </conditionalFormat>
    <conditionalFormat priority="4">
      <pivotAreas count="1">
        <pivotArea type="data" outline="0" collapsedLevelsAreSubtotals="1" fieldPosition="0">
          <references count="1">
            <reference field="4294967294" count="1" selected="0">
              <x v="1"/>
            </reference>
          </references>
        </pivotArea>
      </pivotAreas>
    </conditionalFormat>
    <conditionalFormat priority="5">
      <pivotAreas count="1">
        <pivotArea type="data" outline="0" collapsedLevelsAreSubtotals="1" fieldPosition="0">
          <references count="1">
            <reference field="4294967294" count="1" selected="0">
              <x v="0"/>
            </reference>
          </references>
        </pivotArea>
      </pivotAreas>
    </conditionalFormat>
  </conditional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6AB51D-7833-42A2-AA6B-F4BC39347B5D}"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2:E3" firstHeaderRow="0" firstDataRow="1" firstDataCol="0"/>
  <pivotFields count="16">
    <pivotField numFmtId="1" showAll="0"/>
    <pivotField showAll="0">
      <items count="16">
        <item x="8"/>
        <item x="4"/>
        <item x="5"/>
        <item x="9"/>
        <item x="3"/>
        <item x="2"/>
        <item x="1"/>
        <item x="13"/>
        <item x="14"/>
        <item x="10"/>
        <item x="0"/>
        <item x="6"/>
        <item x="12"/>
        <item x="7"/>
        <item x="11"/>
        <item t="default"/>
      </items>
    </pivotField>
    <pivotField showAll="0"/>
    <pivotField showAll="0"/>
    <pivotField dataField="1" numFmtId="167" showAll="0"/>
    <pivotField dataField="1" numFmtId="1" showAll="0"/>
    <pivotField dataField="1" numFmtId="164" showAll="0"/>
    <pivotField dataField="1" numFmtId="10" showAll="0"/>
    <pivotField dataField="1" numFmtId="10" showAll="0"/>
    <pivotField numFmtId="165" showAll="0"/>
    <pivotField numFmtId="165" showAll="0"/>
    <pivotField numFmtId="10" showAll="0"/>
    <pivotField showAll="0"/>
    <pivotField numFmtId="166" showAll="0"/>
    <pivotField numFmtId="166" showAll="0"/>
    <pivotField numFmtId="10" showAll="0"/>
  </pivotFields>
  <rowItems count="1">
    <i/>
  </rowItems>
  <colFields count="1">
    <field x="-2"/>
  </colFields>
  <colItems count="5">
    <i>
      <x/>
    </i>
    <i i="1">
      <x v="1"/>
    </i>
    <i i="2">
      <x v="2"/>
    </i>
    <i i="3">
      <x v="3"/>
    </i>
    <i i="4">
      <x v="4"/>
    </i>
  </colItems>
  <dataFields count="5">
    <dataField name="Total GDP (in Billions)" fld="4" baseField="0" baseItem="1" numFmtId="167"/>
    <dataField name="Total Population" fld="5" baseField="0" baseItem="1" numFmtId="1"/>
    <dataField name="Average Income" fld="6" subtotal="average" baseField="0" baseItem="2" numFmtId="164"/>
    <dataField name="Average Job Growth Rate" fld="7" subtotal="average" baseField="0" baseItem="3" numFmtId="10"/>
    <dataField name="Average Migration Rate" fld="8" subtotal="average" baseField="0" baseItem="4" numFmtId="10"/>
  </dataFields>
  <formats count="6">
    <format dxfId="23">
      <pivotArea type="all" dataOnly="0" outline="0" fieldPosition="0"/>
    </format>
    <format dxfId="22">
      <pivotArea outline="0" collapsedLevelsAreSubtotals="1" fieldPosition="0"/>
    </format>
    <format dxfId="21">
      <pivotArea dataOnly="0" labelOnly="1" outline="0" fieldPosition="0">
        <references count="1">
          <reference field="4294967294" count="5">
            <x v="0"/>
            <x v="1"/>
            <x v="2"/>
            <x v="3"/>
            <x v="4"/>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5">
            <x v="0"/>
            <x v="1"/>
            <x v="2"/>
            <x v="3"/>
            <x v="4"/>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FA09AA-750C-4E85-931D-C36541E6AB89}"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39:B54"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dataField="1"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Obesity Rate " fld="9" baseField="1" baseItem="0" numFmtId="165"/>
  </dataFields>
  <formats count="10">
    <format dxfId="33">
      <pivotArea type="all" dataOnly="0" outline="0" fieldPosition="0"/>
    </format>
    <format dxfId="32">
      <pivotArea outline="0" collapsedLevelsAreSubtotals="1" fieldPosition="0"/>
    </format>
    <format dxfId="31">
      <pivotArea field="1" type="button" dataOnly="0" labelOnly="1" outline="0" axis="axisRow" fieldPosition="0"/>
    </format>
    <format dxfId="30">
      <pivotArea dataOnly="0" labelOnly="1" fieldPosition="0">
        <references count="1">
          <reference field="1" count="0"/>
        </references>
      </pivotArea>
    </format>
    <format dxfId="29">
      <pivotArea dataOnly="0" labelOnly="1" outline="0" axis="axisValues" fieldPosition="0"/>
    </format>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fieldPosition="0">
        <references count="1">
          <reference field="1" count="0"/>
        </references>
      </pivotArea>
    </format>
    <format dxfId="24">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7A45C2-08F2-42FD-8E31-72825D93FA7A}"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tate">
  <location ref="A73:C88"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dataField="1" showAll="0"/>
    <pivotField numFmtId="166" showAll="0"/>
    <pivotField dataField="1"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Internet Speed (in MBPS) " fld="14" baseField="1" baseItem="0" numFmtId="166"/>
    <dataField name="Air Quality Index " fld="12" baseField="1" baseItem="0"/>
  </dataFields>
  <formats count="10">
    <format dxfId="43">
      <pivotArea type="all" dataOnly="0" outline="0" fieldPosition="0"/>
    </format>
    <format dxfId="42">
      <pivotArea outline="0" collapsedLevelsAreSubtotals="1" fieldPosition="0"/>
    </format>
    <format dxfId="41">
      <pivotArea field="1" type="button" dataOnly="0" labelOnly="1" outline="0" axis="axisRow" fieldPosition="0"/>
    </format>
    <format dxfId="40">
      <pivotArea dataOnly="0" labelOnly="1" fieldPosition="0">
        <references count="1">
          <reference field="1" count="0"/>
        </references>
      </pivotArea>
    </format>
    <format dxfId="39">
      <pivotArea dataOnly="0" labelOnly="1" outline="0" fieldPosition="0">
        <references count="1">
          <reference field="4294967294" count="2">
            <x v="0"/>
            <x v="1"/>
          </reference>
        </references>
      </pivotArea>
    </format>
    <format dxfId="38">
      <pivotArea type="all" dataOnly="0" outline="0" fieldPosition="0"/>
    </format>
    <format dxfId="37">
      <pivotArea outline="0" collapsedLevelsAreSubtotals="1" fieldPosition="0"/>
    </format>
    <format dxfId="36">
      <pivotArea field="1" type="button" dataOnly="0" labelOnly="1" outline="0" axis="axisRow" fieldPosition="0"/>
    </format>
    <format dxfId="35">
      <pivotArea dataOnly="0" labelOnly="1" fieldPosition="0">
        <references count="1">
          <reference field="1" count="0"/>
        </references>
      </pivotArea>
    </format>
    <format dxfId="34">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C135A0E-1468-4F8C-BBF4-157D6DE260A1}"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2" rowHeaderCaption="State">
  <location ref="A5:B20"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dataField="1"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Total Area (in SQ. MI.)" fld="3" baseField="1" baseItem="0"/>
  </dataFields>
  <formats count="10">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0"/>
        </references>
      </pivotArea>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field="1" type="button" dataOnly="0" labelOnly="1" outline="0" axis="axisRow" fieldPosition="0"/>
    </format>
    <format dxfId="45">
      <pivotArea dataOnly="0" labelOnly="1" fieldPosition="0">
        <references count="1">
          <reference field="1" count="0"/>
        </references>
      </pivotArea>
    </format>
    <format dxfId="44">
      <pivotArea dataOnly="0" labelOnly="1" outline="0" axis="axisValues" fieldPosition="0"/>
    </format>
  </formats>
  <chartFormats count="1">
    <chartFormat chart="46" format="2"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43E709-4CE7-465B-BD83-630C365527EA}"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tate">
  <location ref="A56:C71"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dataField="1" numFmtId="10" showAll="0"/>
    <pivotField showAll="0"/>
    <pivotField dataField="1"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Cost of Living Index " fld="13" baseField="1" baseItem="0" numFmtId="166"/>
    <dataField name="Graduation Rate " fld="11" baseField="1" baseItem="0" numFmtId="10"/>
  </dataFields>
  <formats count="10">
    <format dxfId="63">
      <pivotArea type="all" dataOnly="0" outline="0" fieldPosition="0"/>
    </format>
    <format dxfId="62">
      <pivotArea outline="0" collapsedLevelsAreSubtotals="1" fieldPosition="0"/>
    </format>
    <format dxfId="61">
      <pivotArea field="1" type="button" dataOnly="0" labelOnly="1" outline="0" axis="axisRow" fieldPosition="0"/>
    </format>
    <format dxfId="60">
      <pivotArea dataOnly="0" labelOnly="1" fieldPosition="0">
        <references count="1">
          <reference field="1" count="0"/>
        </references>
      </pivotArea>
    </format>
    <format dxfId="59">
      <pivotArea dataOnly="0" labelOnly="1" outline="0" fieldPosition="0">
        <references count="1">
          <reference field="4294967294" count="2">
            <x v="0"/>
            <x v="1"/>
          </reference>
        </references>
      </pivotArea>
    </format>
    <format dxfId="58">
      <pivotArea type="all" dataOnly="0" outline="0" fieldPosition="0"/>
    </format>
    <format dxfId="57">
      <pivotArea outline="0" collapsedLevelsAreSubtotals="1" fieldPosition="0"/>
    </format>
    <format dxfId="56">
      <pivotArea field="1" type="button" dataOnly="0" labelOnly="1" outline="0" axis="axisRow" fieldPosition="0"/>
    </format>
    <format dxfId="55">
      <pivotArea dataOnly="0" labelOnly="1" fieldPosition="0">
        <references count="1">
          <reference field="1" count="0"/>
        </references>
      </pivotArea>
    </format>
    <format dxfId="54">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F726F60-6592-42C7-A7C2-56847BD170AD}"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90:B105" firstHeaderRow="1" firstDataRow="1" firstDataCol="1"/>
  <pivotFields count="16">
    <pivotField dataField="1" numFmtId="1" showAll="0"/>
    <pivotField axis="axisRow" showAll="0" sortType="ascending">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 Rankings" fld="0" baseField="1" baseItem="0" numFmtId="1"/>
  </dataFields>
  <formats count="10">
    <format dxfId="73">
      <pivotArea type="all" dataOnly="0" outline="0" fieldPosition="0"/>
    </format>
    <format dxfId="72">
      <pivotArea outline="0" collapsedLevelsAreSubtotals="1" fieldPosition="0"/>
    </format>
    <format dxfId="71">
      <pivotArea field="1" type="button" dataOnly="0" labelOnly="1" outline="0" axis="axisRow" fieldPosition="0"/>
    </format>
    <format dxfId="70">
      <pivotArea dataOnly="0" labelOnly="1" fieldPosition="0">
        <references count="1">
          <reference field="1" count="0"/>
        </references>
      </pivotArea>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1" type="button" dataOnly="0" labelOnly="1" outline="0" axis="axisRow" fieldPosition="0"/>
    </format>
    <format dxfId="65">
      <pivotArea dataOnly="0" labelOnly="1" fieldPosition="0">
        <references count="1">
          <reference field="1" count="0"/>
        </references>
      </pivotArea>
    </format>
    <format dxfId="64">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115F10-95D2-4EA5-9EFB-84E538AB3F68}"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rowHeaderCaption="State">
  <location ref="A22:C37"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dataField="1" numFmtId="165" showAll="0"/>
    <pivotField numFmtId="10" showAll="0"/>
    <pivotField showAll="0"/>
    <pivotField numFmtId="166" showAll="0"/>
    <pivotField numFmtId="166" showAll="0"/>
    <pivotField dataField="1"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Poverty Rate " fld="10" baseField="1" baseItem="0" numFmtId="165"/>
    <dataField name="Crime Rate " fld="15" baseField="1" baseItem="0" numFmtId="10"/>
  </dataFields>
  <formats count="10">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0"/>
        </references>
      </pivotArea>
    </format>
    <format dxfId="79">
      <pivotArea dataOnly="0" labelOnly="1" outline="0" fieldPosition="0">
        <references count="1">
          <reference field="4294967294" count="2">
            <x v="0"/>
            <x v="1"/>
          </reference>
        </references>
      </pivotArea>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fieldPosition="0">
        <references count="1">
          <reference field="1" count="0"/>
        </references>
      </pivotArea>
    </format>
    <format dxfId="74">
      <pivotArea dataOnly="0" labelOnly="1" outline="0" fieldPosition="0">
        <references count="1">
          <reference field="4294967294" count="2">
            <x v="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70F3A90-EB58-4E72-B774-C8EEBB7226ED}" sourceName="State">
  <pivotTables>
    <pivotTable tabId="11" name="PivotTable2"/>
  </pivotTables>
  <data>
    <tabular pivotCacheId="462612815">
      <items count="15">
        <i x="8" s="1"/>
        <i x="4" s="1"/>
        <i x="5" s="1"/>
        <i x="9" s="1"/>
        <i x="3" s="1"/>
        <i x="2" s="1"/>
        <i x="1" s="1"/>
        <i x="13" s="1"/>
        <i x="14" s="1"/>
        <i x="10" s="1"/>
        <i x="0" s="1"/>
        <i x="6" s="1"/>
        <i x="12" s="1"/>
        <i x="7"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8F974D8-B4A9-4508-8E80-46E295E521FF}" cache="Slicer_State" caption="State"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9639A9-812A-463B-90AE-4F8511275A58}" name="Table1" displayName="Table1" ref="A1:P16" totalsRowShown="0" headerRowDxfId="17" dataDxfId="16">
  <autoFilter ref="A1:P16" xr:uid="{669639A9-812A-463B-90AE-4F8511275A58}"/>
  <tableColumns count="16">
    <tableColumn id="1" xr3:uid="{57292A3A-EEE8-4301-A210-EAB1F54216DC}" name="Rankings" dataDxfId="15"/>
    <tableColumn id="2" xr3:uid="{68E42384-987A-42C5-AF82-06D457040E25}" name="State" dataDxfId="14"/>
    <tableColumn id="3" xr3:uid="{6ED4CD34-880E-4E6B-9353-98CCFBA5CC3D}" name="Capital City" dataDxfId="13"/>
    <tableColumn id="4" xr3:uid="{BDADDE00-E40A-40FA-AFC3-613193BA267B}" name="Area (in SQ. MI.)" dataDxfId="12"/>
    <tableColumn id="5" xr3:uid="{413512E5-559A-49C1-8C67-060C11E7D550}" name="GDP (in Billions)" dataDxfId="11"/>
    <tableColumn id="6" xr3:uid="{3B69644B-18A8-4E71-921C-384F67DF2735}" name="Population" dataDxfId="10"/>
    <tableColumn id="7" xr3:uid="{EE0DA327-6D5A-4797-8C1C-9CE5DC01E5E6}" name="Median Income" dataDxfId="9"/>
    <tableColumn id="8" xr3:uid="{27183A92-3AC4-4F36-845C-3EAE3D643AE3}" name="Job Growth Rate" dataDxfId="8"/>
    <tableColumn id="9" xr3:uid="{B6C5E385-3547-4550-80F4-503A483798E5}" name="Net Migration Rate" dataDxfId="7"/>
    <tableColumn id="10" xr3:uid="{2FEE4597-3966-40EB-9F87-C6A6B8004EA0}" name="Obesity Rate" dataDxfId="6"/>
    <tableColumn id="11" xr3:uid="{06A98F74-FEFD-4E41-9E3B-CB6E882A51E8}" name="Poverty Rate" dataDxfId="5"/>
    <tableColumn id="12" xr3:uid="{8A44BFC8-50E7-4F78-B2F7-A2BA21A45F5E}" name="Graduation Rate" dataDxfId="4"/>
    <tableColumn id="13" xr3:uid="{7AEB1B28-199F-4441-AF3D-6024D59FFB2C}" name="Air Quality Index" dataDxfId="3"/>
    <tableColumn id="14" xr3:uid="{55C5838A-63F5-4EFC-BC9D-89AD58CB1519}" name="Average Cost of Living Index" dataDxfId="2"/>
    <tableColumn id="15" xr3:uid="{122A19B7-E745-4224-877C-2D8D96F0CB05}" name="Average Internet Speed (in MBPS)" dataDxfId="1"/>
    <tableColumn id="16" xr3:uid="{E5E7CFAB-7124-477E-83B2-29762BCAD612}" name="Crime Rate" dataDxfId="0"/>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worldpopulationreview.com/state-rankings/crime-rate-by-state" TargetMode="External"/><Relationship Id="rId2" Type="http://schemas.openxmlformats.org/officeDocument/2006/relationships/hyperlink" Target="https://worldpopulationreview.com/state-rankings/air-quality-by-state" TargetMode="External"/><Relationship Id="rId1" Type="http://schemas.openxmlformats.org/officeDocument/2006/relationships/hyperlink" Target="https://www.usnews.com/news/best-states/rankings" TargetMode="External"/><Relationship Id="rId5" Type="http://schemas.openxmlformats.org/officeDocument/2006/relationships/drawing" Target="../drawings/drawing2.xml"/><Relationship Id="rId4" Type="http://schemas.openxmlformats.org/officeDocument/2006/relationships/hyperlink" Target="https://www.insure.com/cost-of-living-by-state.html" TargetMode="Externa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orldpopulationreview.com/state-rankings/air-quality-by-state"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orldpopulationreview.com/state-rankings/crime-rate-by-state"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www.insure.com/cost-of-living-by-stat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B941-F653-4257-A237-027C945BD98E}">
  <sheetPr codeName="Sheet1"/>
  <dimension ref="A1:Z46"/>
  <sheetViews>
    <sheetView tabSelected="1" zoomScale="105" zoomScaleNormal="105" workbookViewId="0"/>
  </sheetViews>
  <sheetFormatPr baseColWidth="10" defaultColWidth="8.83203125" defaultRowHeight="15" x14ac:dyDescent="0.2"/>
  <cols>
    <col min="1" max="1" width="2.5" style="50" customWidth="1"/>
    <col min="2" max="3" width="8.83203125" style="50"/>
    <col min="4" max="4" width="2.5" style="50" customWidth="1"/>
    <col min="5" max="5" width="13.33203125" style="50" bestFit="1" customWidth="1"/>
    <col min="6" max="6" width="18" style="50" bestFit="1" customWidth="1"/>
    <col min="7" max="7" width="15" style="50" bestFit="1" customWidth="1"/>
    <col min="8" max="8" width="13.6640625" style="50" bestFit="1" customWidth="1"/>
    <col min="9" max="9" width="20.5" style="50" bestFit="1" customWidth="1"/>
    <col min="10" max="10" width="19.1640625" style="50" bestFit="1" customWidth="1"/>
    <col min="11" max="11" width="2.5" style="50" customWidth="1"/>
    <col min="12" max="17" width="8.83203125" style="50"/>
    <col min="18" max="18" width="2.5" style="50" customWidth="1"/>
    <col min="19" max="23" width="8.83203125" style="50"/>
    <col min="24" max="24" width="5.5" style="50" customWidth="1"/>
    <col min="25" max="26" width="2.5" style="50" customWidth="1"/>
    <col min="27" max="16384" width="8.83203125" style="50"/>
  </cols>
  <sheetData>
    <row r="1" spans="1:26" x14ac:dyDescent="0.2">
      <c r="A1" s="60"/>
      <c r="B1" s="60"/>
      <c r="C1" s="60"/>
      <c r="D1" s="60"/>
      <c r="E1" s="60"/>
      <c r="F1" s="60"/>
      <c r="G1" s="60"/>
      <c r="H1" s="60"/>
      <c r="I1" s="60"/>
      <c r="J1" s="60"/>
      <c r="K1" s="60"/>
      <c r="L1" s="60"/>
      <c r="M1" s="60"/>
      <c r="N1" s="60"/>
      <c r="O1" s="60"/>
      <c r="P1" s="60"/>
      <c r="Q1" s="60"/>
      <c r="R1" s="60"/>
      <c r="S1" s="60"/>
      <c r="T1" s="60"/>
      <c r="U1" s="60"/>
      <c r="V1" s="60"/>
      <c r="W1" s="60"/>
      <c r="X1" s="60"/>
      <c r="Y1" s="60"/>
      <c r="Z1" s="60"/>
    </row>
    <row r="2" spans="1:26" x14ac:dyDescent="0.2">
      <c r="A2" s="60"/>
      <c r="B2" s="60"/>
      <c r="C2" s="60"/>
      <c r="D2" s="60"/>
      <c r="E2" s="60"/>
      <c r="F2" s="60"/>
      <c r="G2" s="60"/>
      <c r="H2" s="60"/>
      <c r="I2" s="60"/>
      <c r="J2" s="60"/>
      <c r="K2" s="60"/>
      <c r="L2" s="60"/>
      <c r="M2" s="60"/>
      <c r="N2" s="60"/>
      <c r="O2" s="60"/>
      <c r="P2" s="60"/>
      <c r="Q2" s="60"/>
      <c r="R2" s="60"/>
      <c r="S2" s="60"/>
      <c r="T2" s="60"/>
      <c r="U2" s="60"/>
      <c r="V2" s="60"/>
      <c r="W2" s="60"/>
      <c r="X2" s="60"/>
      <c r="Y2" s="60"/>
      <c r="Z2" s="60"/>
    </row>
    <row r="3" spans="1:26" x14ac:dyDescent="0.2">
      <c r="A3" s="60"/>
      <c r="B3" s="60"/>
      <c r="C3" s="60"/>
      <c r="D3" s="60"/>
      <c r="E3" s="60"/>
      <c r="F3" s="60"/>
      <c r="G3" s="60"/>
      <c r="H3" s="60"/>
      <c r="I3" s="60"/>
      <c r="J3" s="60"/>
      <c r="K3" s="60"/>
      <c r="L3" s="60"/>
      <c r="M3" s="60"/>
      <c r="N3" s="60"/>
      <c r="O3" s="60"/>
      <c r="P3" s="60"/>
      <c r="Q3" s="60"/>
      <c r="R3" s="60"/>
      <c r="S3" s="60"/>
      <c r="T3" s="60"/>
      <c r="U3" s="60"/>
      <c r="V3" s="60"/>
      <c r="W3" s="60"/>
      <c r="X3" s="60"/>
      <c r="Y3" s="60"/>
      <c r="Z3" s="60"/>
    </row>
    <row r="4" spans="1:26" x14ac:dyDescent="0.2">
      <c r="A4" s="60"/>
      <c r="B4" s="60"/>
      <c r="C4" s="60"/>
      <c r="D4" s="60"/>
      <c r="E4" s="60"/>
      <c r="F4" s="60"/>
      <c r="G4" s="60"/>
      <c r="H4" s="60"/>
      <c r="I4" s="60"/>
      <c r="J4" s="60"/>
      <c r="K4" s="60"/>
      <c r="L4" s="60"/>
      <c r="M4" s="60"/>
      <c r="N4" s="60"/>
      <c r="O4" s="60"/>
      <c r="P4" s="60"/>
      <c r="Q4" s="60"/>
      <c r="R4" s="60"/>
      <c r="S4" s="60"/>
      <c r="T4" s="60"/>
      <c r="U4" s="60"/>
      <c r="V4" s="60"/>
      <c r="W4" s="60"/>
      <c r="X4" s="60"/>
      <c r="Y4" s="60"/>
      <c r="Z4" s="60"/>
    </row>
    <row r="5" spans="1:26" x14ac:dyDescent="0.2">
      <c r="A5" s="60"/>
      <c r="B5" s="60"/>
      <c r="C5" s="60"/>
      <c r="D5" s="60"/>
      <c r="E5" s="60"/>
      <c r="F5" s="60"/>
      <c r="G5" s="60"/>
      <c r="H5" s="60"/>
      <c r="I5" s="60"/>
      <c r="J5" s="60"/>
      <c r="K5" s="60"/>
      <c r="L5" s="60"/>
      <c r="M5" s="60"/>
      <c r="N5" s="60"/>
      <c r="O5" s="60"/>
      <c r="P5" s="60"/>
      <c r="Q5" s="60"/>
      <c r="R5" s="60"/>
      <c r="S5" s="60"/>
      <c r="T5" s="60"/>
      <c r="U5" s="60"/>
      <c r="V5" s="60"/>
      <c r="W5" s="60"/>
      <c r="X5" s="60"/>
      <c r="Y5" s="60"/>
      <c r="Z5" s="60"/>
    </row>
    <row r="6" spans="1:26" x14ac:dyDescent="0.2">
      <c r="A6" s="60"/>
      <c r="B6" s="60"/>
      <c r="C6" s="60"/>
      <c r="D6" s="60"/>
      <c r="E6" s="60"/>
      <c r="F6" s="60"/>
      <c r="G6" s="60"/>
      <c r="H6" s="60"/>
      <c r="I6" s="60"/>
      <c r="J6" s="60"/>
      <c r="K6" s="60"/>
      <c r="L6" s="60"/>
      <c r="M6" s="60"/>
      <c r="N6" s="60"/>
      <c r="O6" s="60"/>
      <c r="P6" s="60"/>
      <c r="Q6" s="60"/>
      <c r="R6" s="60"/>
      <c r="S6" s="60"/>
      <c r="T6" s="60"/>
      <c r="U6" s="60"/>
      <c r="V6" s="60"/>
      <c r="W6" s="60"/>
      <c r="X6" s="60"/>
      <c r="Y6" s="60"/>
      <c r="Z6" s="60"/>
    </row>
    <row r="7" spans="1:26" x14ac:dyDescent="0.2">
      <c r="A7" s="60"/>
      <c r="B7" s="60"/>
      <c r="C7" s="60"/>
      <c r="D7" s="60"/>
      <c r="E7" s="60"/>
      <c r="F7" s="60"/>
      <c r="G7" s="60"/>
      <c r="H7" s="60"/>
      <c r="I7" s="60"/>
      <c r="J7" s="60"/>
      <c r="K7" s="60"/>
      <c r="L7" s="60"/>
      <c r="M7" s="60"/>
      <c r="N7" s="60"/>
      <c r="O7" s="60"/>
      <c r="P7" s="60"/>
      <c r="Q7" s="60"/>
      <c r="R7" s="60"/>
      <c r="S7" s="60"/>
      <c r="T7" s="60"/>
      <c r="U7" s="60"/>
      <c r="V7" s="60"/>
      <c r="W7" s="60"/>
      <c r="X7" s="60"/>
      <c r="Y7" s="60"/>
      <c r="Z7" s="60"/>
    </row>
    <row r="8" spans="1:26" x14ac:dyDescent="0.2">
      <c r="A8" s="60"/>
      <c r="B8" s="60"/>
      <c r="C8" s="60"/>
      <c r="D8" s="60"/>
      <c r="E8" s="60"/>
      <c r="F8" s="60"/>
      <c r="G8" s="60"/>
      <c r="H8" s="60"/>
      <c r="I8" s="60"/>
      <c r="J8" s="60"/>
      <c r="K8" s="60"/>
      <c r="L8" s="60"/>
      <c r="M8" s="60"/>
      <c r="N8" s="60"/>
      <c r="O8" s="60"/>
      <c r="P8" s="60"/>
      <c r="Q8" s="60"/>
      <c r="R8" s="60"/>
      <c r="S8" s="60"/>
      <c r="T8" s="60"/>
      <c r="U8" s="60"/>
      <c r="V8" s="60"/>
      <c r="W8" s="60"/>
      <c r="X8" s="60"/>
      <c r="Y8" s="60"/>
      <c r="Z8" s="60"/>
    </row>
    <row r="9" spans="1:26" x14ac:dyDescent="0.2">
      <c r="A9" s="60"/>
      <c r="B9" s="60"/>
      <c r="C9" s="60"/>
      <c r="D9" s="60"/>
      <c r="E9" s="60"/>
      <c r="F9" s="60"/>
      <c r="G9" s="60"/>
      <c r="H9" s="60"/>
      <c r="I9" s="60"/>
      <c r="J9" s="60"/>
      <c r="K9" s="60"/>
      <c r="L9" s="60"/>
      <c r="M9" s="60"/>
      <c r="N9" s="60"/>
      <c r="O9" s="60"/>
      <c r="P9" s="60"/>
      <c r="Q9" s="60"/>
      <c r="R9" s="60"/>
      <c r="S9" s="60"/>
      <c r="T9" s="60"/>
      <c r="U9" s="60"/>
      <c r="V9" s="60"/>
      <c r="W9" s="60"/>
      <c r="X9" s="60"/>
      <c r="Y9" s="60"/>
      <c r="Z9" s="60"/>
    </row>
    <row r="10" spans="1:26" x14ac:dyDescent="0.2">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row>
    <row r="11" spans="1:26" x14ac:dyDescent="0.2">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row>
    <row r="12" spans="1:26" x14ac:dyDescent="0.2">
      <c r="A12" s="60"/>
      <c r="B12" s="60"/>
      <c r="C12" s="60"/>
      <c r="D12" s="60"/>
      <c r="E12" s="60"/>
      <c r="F12" s="60"/>
      <c r="G12" s="60"/>
      <c r="H12" s="60"/>
      <c r="I12" s="60"/>
      <c r="J12" s="60"/>
      <c r="K12" s="60"/>
      <c r="L12" s="60"/>
      <c r="M12" s="60"/>
      <c r="N12" s="60"/>
      <c r="O12" s="60"/>
      <c r="P12" s="60"/>
      <c r="Q12" s="60"/>
      <c r="R12" s="60"/>
      <c r="S12" s="60"/>
      <c r="T12" s="60"/>
      <c r="U12" s="60"/>
      <c r="V12" s="60"/>
      <c r="W12" s="60"/>
      <c r="X12" s="60"/>
      <c r="Y12" s="60"/>
      <c r="Z12" s="60"/>
    </row>
    <row r="13" spans="1:26" x14ac:dyDescent="0.2">
      <c r="A13" s="60"/>
      <c r="B13" s="60"/>
      <c r="C13" s="60"/>
      <c r="D13" s="60"/>
      <c r="E13" s="51" t="s">
        <v>0</v>
      </c>
      <c r="F13" s="51" t="s">
        <v>48</v>
      </c>
      <c r="G13" s="51" t="s">
        <v>49</v>
      </c>
      <c r="H13" s="51" t="s">
        <v>50</v>
      </c>
      <c r="I13" s="51" t="s">
        <v>51</v>
      </c>
      <c r="J13" s="51" t="s">
        <v>52</v>
      </c>
      <c r="K13" s="60"/>
      <c r="L13" s="60"/>
      <c r="M13" s="60"/>
      <c r="N13" s="60"/>
      <c r="O13" s="60"/>
      <c r="P13" s="60"/>
      <c r="Q13" s="60"/>
      <c r="R13" s="60"/>
      <c r="S13" s="60"/>
      <c r="T13" s="60"/>
      <c r="U13" s="60"/>
      <c r="V13" s="60"/>
      <c r="W13" s="60"/>
      <c r="X13" s="60"/>
      <c r="Y13" s="60"/>
      <c r="Z13" s="60"/>
    </row>
    <row r="14" spans="1:26" x14ac:dyDescent="0.2">
      <c r="A14" s="60"/>
      <c r="B14" s="60"/>
      <c r="C14" s="60"/>
      <c r="D14" s="60"/>
      <c r="E14" s="52" t="s">
        <v>21</v>
      </c>
      <c r="F14" s="53">
        <v>1580</v>
      </c>
      <c r="G14" s="54">
        <v>22610726</v>
      </c>
      <c r="H14" s="55">
        <v>39920</v>
      </c>
      <c r="I14" s="56">
        <v>4.8000000000000001E-2</v>
      </c>
      <c r="J14" s="56">
        <v>1.7000000000000001E-2</v>
      </c>
      <c r="K14" s="60"/>
      <c r="L14" s="60"/>
      <c r="M14" s="60"/>
      <c r="N14" s="60"/>
      <c r="O14" s="60"/>
      <c r="P14" s="60"/>
      <c r="Q14" s="60"/>
      <c r="R14" s="60"/>
      <c r="S14" s="60"/>
      <c r="T14" s="60"/>
      <c r="U14" s="60"/>
      <c r="V14" s="60"/>
      <c r="W14" s="60"/>
      <c r="X14" s="60"/>
      <c r="Y14" s="60"/>
      <c r="Z14" s="60"/>
    </row>
    <row r="15" spans="1:26" x14ac:dyDescent="0.2">
      <c r="A15" s="60"/>
      <c r="B15" s="60"/>
      <c r="C15" s="60"/>
      <c r="D15" s="60"/>
      <c r="E15" s="52" t="s">
        <v>17</v>
      </c>
      <c r="F15" s="53">
        <v>119</v>
      </c>
      <c r="G15" s="54">
        <v>1964726</v>
      </c>
      <c r="H15" s="55">
        <v>37395</v>
      </c>
      <c r="I15" s="56">
        <v>3.1E-2</v>
      </c>
      <c r="J15" s="56">
        <v>1.7999999999999999E-2</v>
      </c>
      <c r="K15" s="60"/>
      <c r="L15" s="60"/>
      <c r="M15" s="60"/>
      <c r="N15" s="60"/>
      <c r="O15" s="60"/>
      <c r="P15" s="60"/>
      <c r="Q15" s="60"/>
      <c r="R15" s="60"/>
      <c r="S15" s="60"/>
      <c r="T15" s="60"/>
      <c r="U15" s="60"/>
      <c r="V15" s="60"/>
      <c r="W15" s="60"/>
      <c r="X15" s="60"/>
      <c r="Y15" s="60"/>
      <c r="Z15" s="60"/>
    </row>
    <row r="16" spans="1:26" x14ac:dyDescent="0.2">
      <c r="A16" s="60"/>
      <c r="B16" s="60"/>
      <c r="C16" s="60"/>
      <c r="D16" s="60"/>
      <c r="E16" s="52" t="s">
        <v>18</v>
      </c>
      <c r="F16" s="53">
        <v>249</v>
      </c>
      <c r="G16" s="54">
        <v>3207004</v>
      </c>
      <c r="H16" s="55">
        <v>41625</v>
      </c>
      <c r="I16" s="56">
        <v>1.6E-2</v>
      </c>
      <c r="J16" s="56">
        <v>1E-3</v>
      </c>
      <c r="K16" s="60"/>
      <c r="L16" s="60"/>
      <c r="M16" s="60"/>
      <c r="N16" s="60"/>
      <c r="O16" s="60"/>
      <c r="P16" s="60"/>
      <c r="Q16" s="60"/>
      <c r="R16" s="60"/>
      <c r="S16" s="60"/>
      <c r="T16" s="60"/>
      <c r="U16" s="60"/>
      <c r="V16" s="60"/>
      <c r="W16" s="60"/>
      <c r="X16" s="60"/>
      <c r="Y16" s="60"/>
      <c r="Z16" s="60"/>
    </row>
    <row r="17" spans="1:26" x14ac:dyDescent="0.2">
      <c r="A17" s="60"/>
      <c r="B17" s="60"/>
      <c r="C17" s="60"/>
      <c r="D17" s="60"/>
      <c r="E17" s="52" t="s">
        <v>22</v>
      </c>
      <c r="F17" s="53">
        <v>734</v>
      </c>
      <c r="G17" s="54">
        <v>7001399</v>
      </c>
      <c r="H17" s="55">
        <v>52528</v>
      </c>
      <c r="I17" s="56">
        <v>2.1999999999999999E-2</v>
      </c>
      <c r="J17" s="56">
        <v>-1E-3</v>
      </c>
      <c r="K17" s="60"/>
      <c r="L17" s="60"/>
      <c r="M17" s="60"/>
      <c r="N17" s="60"/>
      <c r="O17" s="60"/>
      <c r="P17" s="60"/>
      <c r="Q17" s="60"/>
      <c r="R17" s="60"/>
      <c r="S17" s="60"/>
      <c r="T17" s="60"/>
      <c r="U17" s="60"/>
      <c r="V17" s="60"/>
      <c r="W17" s="60"/>
      <c r="X17" s="60"/>
      <c r="Y17" s="60"/>
      <c r="Z17" s="60"/>
    </row>
    <row r="18" spans="1:26" x14ac:dyDescent="0.2">
      <c r="A18" s="60"/>
      <c r="B18" s="60"/>
      <c r="C18" s="60"/>
      <c r="D18" s="60"/>
      <c r="E18" s="52" t="s">
        <v>16</v>
      </c>
      <c r="F18" s="53">
        <v>472</v>
      </c>
      <c r="G18" s="54">
        <v>5737915</v>
      </c>
      <c r="H18" s="55">
        <v>47393</v>
      </c>
      <c r="I18" s="56">
        <v>0.01</v>
      </c>
      <c r="J18" s="56">
        <v>-1E-3</v>
      </c>
      <c r="K18" s="60"/>
      <c r="L18" s="60"/>
      <c r="M18" s="60"/>
      <c r="N18" s="60"/>
      <c r="O18" s="60"/>
      <c r="P18" s="60"/>
      <c r="Q18" s="60"/>
      <c r="R18" s="60"/>
      <c r="S18" s="60"/>
      <c r="T18" s="60"/>
      <c r="U18" s="60"/>
      <c r="V18" s="60"/>
      <c r="W18" s="60"/>
      <c r="X18" s="60"/>
      <c r="Y18" s="60"/>
      <c r="Z18" s="60"/>
    </row>
    <row r="19" spans="1:26" x14ac:dyDescent="0.2">
      <c r="A19" s="60"/>
      <c r="B19" s="60"/>
      <c r="C19" s="60"/>
      <c r="D19" s="60"/>
      <c r="E19" s="52" t="s">
        <v>15</v>
      </c>
      <c r="F19" s="53">
        <v>178</v>
      </c>
      <c r="G19" s="54">
        <v>1978379</v>
      </c>
      <c r="H19" s="55">
        <v>41403</v>
      </c>
      <c r="I19" s="56">
        <v>0.01</v>
      </c>
      <c r="J19" s="56">
        <v>0</v>
      </c>
      <c r="K19" s="60"/>
      <c r="L19" s="60"/>
      <c r="M19" s="60"/>
      <c r="N19" s="60"/>
      <c r="O19" s="60"/>
      <c r="P19" s="60"/>
      <c r="Q19" s="60"/>
      <c r="R19" s="60"/>
      <c r="S19" s="60"/>
      <c r="T19" s="60"/>
      <c r="U19" s="60"/>
      <c r="V19" s="60"/>
      <c r="W19" s="60"/>
      <c r="X19" s="60"/>
      <c r="Y19" s="60"/>
      <c r="Z19" s="60"/>
    </row>
    <row r="20" spans="1:26" x14ac:dyDescent="0.2">
      <c r="A20" s="60"/>
      <c r="B20" s="60"/>
      <c r="C20" s="60"/>
      <c r="D20" s="60"/>
      <c r="E20" s="52" t="s">
        <v>10</v>
      </c>
      <c r="F20" s="53">
        <v>111</v>
      </c>
      <c r="G20" s="54">
        <v>1402054</v>
      </c>
      <c r="H20" s="55">
        <v>49617</v>
      </c>
      <c r="I20" s="56">
        <v>1.4999999999999999E-2</v>
      </c>
      <c r="J20" s="56">
        <v>7.0000000000000001E-3</v>
      </c>
      <c r="K20" s="60"/>
      <c r="L20" s="60"/>
      <c r="M20" s="60"/>
      <c r="N20" s="60"/>
      <c r="O20" s="60"/>
      <c r="P20" s="60"/>
      <c r="Q20" s="60"/>
      <c r="R20" s="60"/>
      <c r="S20" s="60"/>
      <c r="T20" s="60"/>
      <c r="U20" s="60"/>
      <c r="V20" s="60"/>
      <c r="W20" s="60"/>
      <c r="X20" s="60"/>
      <c r="Y20" s="60"/>
      <c r="Z20" s="60"/>
    </row>
    <row r="21" spans="1:26" x14ac:dyDescent="0.2">
      <c r="A21" s="60"/>
      <c r="B21" s="60"/>
      <c r="C21" s="60"/>
      <c r="D21" s="60"/>
      <c r="E21" s="52" t="s">
        <v>26</v>
      </c>
      <c r="F21" s="53">
        <v>799</v>
      </c>
      <c r="G21" s="54">
        <v>9290841</v>
      </c>
      <c r="H21" s="55">
        <v>51884</v>
      </c>
      <c r="I21" s="56">
        <v>3.2000000000000001E-2</v>
      </c>
      <c r="J21" s="56">
        <v>-1E-3</v>
      </c>
      <c r="K21" s="60"/>
      <c r="L21" s="60"/>
      <c r="M21" s="60"/>
      <c r="N21" s="60"/>
      <c r="O21" s="60"/>
      <c r="P21" s="60"/>
      <c r="Q21" s="60"/>
      <c r="R21" s="60"/>
      <c r="S21" s="60"/>
      <c r="T21" s="60"/>
      <c r="U21" s="60"/>
      <c r="V21" s="60"/>
      <c r="W21" s="60"/>
      <c r="X21" s="60"/>
      <c r="Y21" s="60"/>
      <c r="Z21" s="60"/>
    </row>
    <row r="22" spans="1:26" x14ac:dyDescent="0.2">
      <c r="A22" s="60"/>
      <c r="B22" s="60"/>
      <c r="C22" s="60"/>
      <c r="D22" s="60"/>
      <c r="E22" s="52" t="s">
        <v>27</v>
      </c>
      <c r="F22" s="53">
        <v>74</v>
      </c>
      <c r="G22" s="54">
        <v>783926</v>
      </c>
      <c r="H22" s="55">
        <v>42807</v>
      </c>
      <c r="I22" s="56">
        <v>1.7000000000000001E-2</v>
      </c>
      <c r="J22" s="56">
        <v>-1E-3</v>
      </c>
      <c r="K22" s="60"/>
      <c r="L22" s="60"/>
      <c r="M22" s="60"/>
      <c r="N22" s="60"/>
      <c r="O22" s="60"/>
      <c r="P22" s="60"/>
      <c r="Q22" s="60"/>
      <c r="R22" s="60"/>
      <c r="S22" s="60"/>
      <c r="T22" s="60"/>
      <c r="U22" s="60"/>
      <c r="V22" s="60"/>
      <c r="W22" s="60"/>
      <c r="X22" s="60"/>
      <c r="Y22" s="60"/>
      <c r="Z22" s="60"/>
    </row>
    <row r="23" spans="1:26" x14ac:dyDescent="0.2">
      <c r="A23" s="60"/>
      <c r="B23" s="60"/>
      <c r="C23" s="60"/>
      <c r="D23" s="60"/>
      <c r="E23" s="52" t="s">
        <v>23</v>
      </c>
      <c r="F23" s="53">
        <v>72</v>
      </c>
      <c r="G23" s="54">
        <v>919318</v>
      </c>
      <c r="H23" s="55">
        <v>40978</v>
      </c>
      <c r="I23" s="56">
        <v>1.9E-2</v>
      </c>
      <c r="J23" s="56">
        <v>8.9999999999999993E-3</v>
      </c>
      <c r="K23" s="60"/>
      <c r="L23" s="60"/>
      <c r="M23" s="60"/>
      <c r="N23" s="60"/>
      <c r="O23" s="60"/>
      <c r="P23" s="60"/>
      <c r="Q23" s="60"/>
      <c r="R23" s="60"/>
      <c r="S23" s="60"/>
      <c r="T23" s="60"/>
      <c r="U23" s="60"/>
      <c r="V23" s="60"/>
      <c r="W23" s="60"/>
      <c r="X23" s="60"/>
      <c r="Y23" s="60"/>
      <c r="Z23" s="60"/>
    </row>
    <row r="24" spans="1:26" x14ac:dyDescent="0.2">
      <c r="A24" s="60"/>
      <c r="B24" s="60"/>
      <c r="C24" s="60"/>
      <c r="D24" s="60"/>
      <c r="E24" s="52" t="s">
        <v>1</v>
      </c>
      <c r="F24" s="53">
        <v>273</v>
      </c>
      <c r="G24" s="54">
        <v>3417734</v>
      </c>
      <c r="H24" s="55">
        <v>40959</v>
      </c>
      <c r="I24" s="56">
        <v>3.6999999999999998E-2</v>
      </c>
      <c r="J24" s="56">
        <v>6.0000000000000001E-3</v>
      </c>
      <c r="K24" s="60"/>
      <c r="L24" s="60"/>
      <c r="M24" s="60"/>
      <c r="N24" s="60"/>
      <c r="O24" s="60"/>
      <c r="P24" s="60"/>
      <c r="Q24" s="60"/>
      <c r="R24" s="60"/>
      <c r="S24" s="60"/>
      <c r="T24" s="60"/>
      <c r="U24" s="60"/>
      <c r="V24" s="60"/>
      <c r="W24" s="60"/>
      <c r="X24" s="60"/>
      <c r="Y24" s="60"/>
      <c r="Z24" s="60"/>
    </row>
    <row r="25" spans="1:26" x14ac:dyDescent="0.2">
      <c r="A25" s="60"/>
      <c r="B25" s="60"/>
      <c r="C25" s="60"/>
      <c r="D25" s="60"/>
      <c r="E25" s="52" t="s">
        <v>19</v>
      </c>
      <c r="F25" s="53">
        <v>43</v>
      </c>
      <c r="G25" s="54">
        <v>647464</v>
      </c>
      <c r="H25" s="55">
        <v>42147</v>
      </c>
      <c r="I25" s="56">
        <v>2.3E-2</v>
      </c>
      <c r="J25" s="56">
        <v>5.0000000000000001E-3</v>
      </c>
      <c r="K25" s="60"/>
      <c r="L25" s="60"/>
      <c r="M25" s="60"/>
      <c r="N25" s="60"/>
      <c r="O25" s="60"/>
      <c r="P25" s="60"/>
      <c r="Q25" s="60"/>
      <c r="R25" s="60"/>
      <c r="S25" s="60"/>
      <c r="T25" s="60"/>
      <c r="U25" s="60"/>
      <c r="V25" s="60"/>
      <c r="W25" s="60"/>
      <c r="X25" s="60"/>
      <c r="Y25" s="60"/>
      <c r="Z25" s="60"/>
    </row>
    <row r="26" spans="1:26" x14ac:dyDescent="0.2">
      <c r="A26" s="60"/>
      <c r="B26" s="60"/>
      <c r="C26" s="60"/>
      <c r="D26" s="60"/>
      <c r="E26" s="52" t="s">
        <v>25</v>
      </c>
      <c r="F26" s="53">
        <v>707</v>
      </c>
      <c r="G26" s="54">
        <v>8715698</v>
      </c>
      <c r="H26" s="55">
        <v>48178</v>
      </c>
      <c r="I26" s="56">
        <v>0.03</v>
      </c>
      <c r="J26" s="56">
        <v>2E-3</v>
      </c>
      <c r="K26" s="60"/>
      <c r="L26" s="60"/>
      <c r="M26" s="60"/>
      <c r="N26" s="60"/>
      <c r="O26" s="60"/>
      <c r="P26" s="60"/>
      <c r="Q26" s="60"/>
      <c r="R26" s="60"/>
      <c r="S26" s="60"/>
      <c r="T26" s="60"/>
      <c r="U26" s="60"/>
      <c r="V26" s="60"/>
      <c r="W26" s="60"/>
      <c r="X26" s="60"/>
      <c r="Y26" s="60"/>
      <c r="Z26" s="60"/>
    </row>
    <row r="27" spans="1:26" x14ac:dyDescent="0.2">
      <c r="A27" s="60"/>
      <c r="B27" s="60"/>
      <c r="C27" s="60"/>
      <c r="D27" s="60"/>
      <c r="E27" s="52" t="s">
        <v>20</v>
      </c>
      <c r="F27" s="53">
        <v>802</v>
      </c>
      <c r="G27" s="54">
        <v>7812880</v>
      </c>
      <c r="H27" s="55">
        <v>51640</v>
      </c>
      <c r="I27" s="56">
        <v>2.7E-2</v>
      </c>
      <c r="J27" s="56">
        <v>2E-3</v>
      </c>
      <c r="K27" s="60"/>
      <c r="L27" s="60"/>
      <c r="M27" s="60"/>
      <c r="N27" s="60"/>
      <c r="O27" s="60"/>
      <c r="P27" s="60"/>
      <c r="Q27" s="60"/>
      <c r="R27" s="60"/>
      <c r="S27" s="60"/>
      <c r="T27" s="60"/>
      <c r="U27" s="60"/>
      <c r="V27" s="60"/>
      <c r="W27" s="60"/>
      <c r="X27" s="60"/>
      <c r="Y27" s="60"/>
      <c r="Z27" s="60"/>
    </row>
    <row r="28" spans="1:26" x14ac:dyDescent="0.2">
      <c r="A28" s="60"/>
      <c r="B28" s="60"/>
      <c r="C28" s="60"/>
      <c r="D28" s="60"/>
      <c r="E28" s="52" t="s">
        <v>24</v>
      </c>
      <c r="F28" s="53">
        <v>50</v>
      </c>
      <c r="G28" s="54">
        <v>584057</v>
      </c>
      <c r="H28" s="55">
        <v>39954</v>
      </c>
      <c r="I28" s="56">
        <v>1.2E-2</v>
      </c>
      <c r="J28" s="56">
        <v>4.0000000000000001E-3</v>
      </c>
      <c r="K28" s="60"/>
      <c r="L28" s="60"/>
      <c r="M28" s="60"/>
      <c r="N28" s="60"/>
      <c r="O28" s="60"/>
      <c r="P28" s="60"/>
      <c r="Q28" s="60"/>
      <c r="R28" s="60"/>
      <c r="S28" s="60"/>
      <c r="T28" s="60"/>
      <c r="U28" s="60"/>
      <c r="V28" s="60"/>
      <c r="W28" s="60"/>
      <c r="X28" s="60"/>
      <c r="Y28" s="60"/>
      <c r="Z28" s="60"/>
    </row>
    <row r="29" spans="1:26" x14ac:dyDescent="0.2">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row>
    <row r="30" spans="1:26" ht="14.25" customHeight="1" x14ac:dyDescent="0.2">
      <c r="A30" s="60"/>
      <c r="B30" s="60"/>
      <c r="C30" s="60"/>
      <c r="D30" s="60"/>
      <c r="E30" s="65" t="s">
        <v>53</v>
      </c>
      <c r="F30" s="65" t="s">
        <v>57</v>
      </c>
      <c r="G30" s="65" t="s">
        <v>59</v>
      </c>
      <c r="H30" s="65" t="s">
        <v>61</v>
      </c>
      <c r="I30" s="65" t="s">
        <v>58</v>
      </c>
      <c r="J30" s="60"/>
      <c r="K30" s="60"/>
      <c r="L30" s="60"/>
      <c r="M30" s="60"/>
      <c r="N30" s="60"/>
      <c r="O30" s="60"/>
      <c r="P30" s="60"/>
      <c r="Q30" s="60"/>
      <c r="R30" s="60"/>
      <c r="S30" s="60"/>
      <c r="T30" s="60"/>
      <c r="U30" s="60"/>
      <c r="V30" s="60"/>
      <c r="W30" s="60"/>
      <c r="X30" s="60"/>
      <c r="Y30" s="60"/>
      <c r="Z30" s="60"/>
    </row>
    <row r="31" spans="1:26" x14ac:dyDescent="0.2">
      <c r="A31" s="60"/>
      <c r="B31" s="60"/>
      <c r="C31" s="60"/>
      <c r="D31" s="60"/>
      <c r="E31" s="65"/>
      <c r="F31" s="65"/>
      <c r="G31" s="65"/>
      <c r="H31" s="65"/>
      <c r="I31" s="65"/>
      <c r="J31" s="60"/>
      <c r="K31" s="60"/>
      <c r="L31" s="60"/>
      <c r="M31" s="60"/>
      <c r="N31" s="60"/>
      <c r="O31" s="60"/>
      <c r="P31" s="60"/>
      <c r="Q31" s="60"/>
      <c r="R31" s="60"/>
      <c r="S31" s="60"/>
      <c r="T31" s="60"/>
      <c r="U31" s="60"/>
      <c r="V31" s="60"/>
      <c r="W31" s="60"/>
      <c r="X31" s="60"/>
      <c r="Y31" s="60"/>
      <c r="Z31" s="60"/>
    </row>
    <row r="32" spans="1:26" x14ac:dyDescent="0.2">
      <c r="A32" s="60"/>
      <c r="B32" s="60"/>
      <c r="C32" s="60"/>
      <c r="D32" s="60"/>
      <c r="E32" s="65"/>
      <c r="F32" s="65"/>
      <c r="G32" s="65"/>
      <c r="H32" s="65"/>
      <c r="I32" s="65"/>
      <c r="J32" s="60"/>
      <c r="K32" s="60"/>
      <c r="L32" s="60"/>
      <c r="M32" s="60"/>
      <c r="N32" s="60"/>
      <c r="O32" s="60"/>
      <c r="P32" s="60"/>
      <c r="Q32" s="60"/>
      <c r="R32" s="62"/>
      <c r="S32" s="60"/>
      <c r="T32" s="60"/>
      <c r="U32" s="60"/>
      <c r="V32" s="60"/>
      <c r="W32" s="60"/>
      <c r="X32" s="60"/>
      <c r="Y32" s="60"/>
      <c r="Z32" s="60"/>
    </row>
    <row r="33" spans="1:26" x14ac:dyDescent="0.2">
      <c r="A33" s="60"/>
      <c r="B33" s="60"/>
      <c r="C33" s="60"/>
      <c r="D33" s="60"/>
      <c r="E33" s="65"/>
      <c r="F33" s="65"/>
      <c r="G33" s="65"/>
      <c r="H33" s="65"/>
      <c r="I33" s="65"/>
      <c r="J33" s="60"/>
      <c r="K33" s="60"/>
      <c r="L33" s="60"/>
      <c r="M33" s="60"/>
      <c r="N33" s="60"/>
      <c r="O33" s="60"/>
      <c r="P33" s="60"/>
      <c r="Q33" s="60"/>
      <c r="R33" s="60"/>
      <c r="S33" s="60"/>
      <c r="T33" s="60"/>
      <c r="U33" s="60"/>
      <c r="V33" s="60"/>
      <c r="W33" s="60"/>
      <c r="X33" s="60"/>
      <c r="Y33" s="60"/>
      <c r="Z33" s="60"/>
    </row>
    <row r="34" spans="1:26" x14ac:dyDescent="0.2">
      <c r="A34" s="60"/>
      <c r="B34" s="60"/>
      <c r="C34" s="60"/>
      <c r="D34" s="60"/>
      <c r="E34" s="65"/>
      <c r="F34" s="65"/>
      <c r="G34" s="65"/>
      <c r="H34" s="65"/>
      <c r="I34" s="65"/>
      <c r="J34" s="60"/>
      <c r="K34" s="60"/>
      <c r="L34" s="60"/>
      <c r="M34" s="60"/>
      <c r="N34" s="60"/>
      <c r="O34" s="60"/>
      <c r="P34" s="60"/>
      <c r="Q34" s="60"/>
      <c r="R34" s="60"/>
      <c r="S34" s="60"/>
      <c r="T34" s="60"/>
      <c r="U34" s="60"/>
      <c r="V34" s="60"/>
      <c r="W34" s="60"/>
      <c r="X34" s="60"/>
      <c r="Y34" s="60"/>
      <c r="Z34" s="60"/>
    </row>
    <row r="35" spans="1:26" x14ac:dyDescent="0.2">
      <c r="A35" s="60"/>
      <c r="B35" s="64" t="s">
        <v>0</v>
      </c>
      <c r="C35" s="64"/>
      <c r="D35" s="60"/>
      <c r="E35" s="65"/>
      <c r="F35" s="65"/>
      <c r="G35" s="65"/>
      <c r="H35" s="65"/>
      <c r="I35" s="65"/>
      <c r="J35" s="60"/>
      <c r="K35" s="60"/>
      <c r="L35" s="60"/>
      <c r="M35" s="60"/>
      <c r="N35" s="60"/>
      <c r="O35" s="60"/>
      <c r="P35" s="60"/>
      <c r="Q35" s="60"/>
      <c r="R35" s="60"/>
      <c r="S35" s="60"/>
      <c r="T35" s="60"/>
      <c r="U35" s="60"/>
      <c r="V35" s="60"/>
      <c r="W35" s="60"/>
      <c r="X35" s="60"/>
      <c r="Y35" s="60"/>
      <c r="Z35" s="60"/>
    </row>
    <row r="36" spans="1:26" x14ac:dyDescent="0.2">
      <c r="A36" s="60"/>
      <c r="B36" s="64"/>
      <c r="C36" s="64"/>
      <c r="D36" s="60"/>
      <c r="E36" s="65"/>
      <c r="F36" s="65"/>
      <c r="G36" s="65"/>
      <c r="H36" s="65"/>
      <c r="I36" s="65"/>
      <c r="J36" s="60"/>
      <c r="K36" s="60"/>
      <c r="L36" s="60"/>
      <c r="M36" s="60"/>
      <c r="N36" s="60"/>
      <c r="O36" s="60"/>
      <c r="P36" s="60"/>
      <c r="Q36" s="60"/>
      <c r="R36" s="60"/>
      <c r="S36" s="60"/>
      <c r="T36" s="60"/>
      <c r="U36" s="60"/>
      <c r="V36" s="60"/>
      <c r="W36" s="60"/>
      <c r="X36" s="60"/>
      <c r="Y36" s="60"/>
      <c r="Z36" s="60"/>
    </row>
    <row r="37" spans="1:26" x14ac:dyDescent="0.2">
      <c r="A37" s="60"/>
      <c r="B37" s="64"/>
      <c r="C37" s="64"/>
      <c r="D37" s="60"/>
      <c r="E37" s="65"/>
      <c r="F37" s="65"/>
      <c r="G37" s="65"/>
      <c r="H37" s="65"/>
      <c r="I37" s="65"/>
      <c r="J37" s="60"/>
      <c r="K37" s="60"/>
      <c r="L37" s="60"/>
      <c r="M37" s="60"/>
      <c r="N37" s="60"/>
      <c r="O37" s="60"/>
      <c r="P37" s="60"/>
      <c r="Q37" s="60"/>
      <c r="R37" s="60"/>
      <c r="S37" s="60"/>
      <c r="T37" s="60"/>
      <c r="U37" s="60"/>
      <c r="V37" s="60"/>
      <c r="W37" s="60"/>
      <c r="X37" s="60"/>
      <c r="Y37" s="60"/>
      <c r="Z37" s="60"/>
    </row>
    <row r="38" spans="1:26" x14ac:dyDescent="0.2">
      <c r="A38" s="60"/>
      <c r="B38" s="64"/>
      <c r="C38" s="64"/>
      <c r="D38" s="60"/>
      <c r="E38" s="67">
        <f>_xlfn.XLOOKUP(B41,Analyse!A91:A105,Analyse!B91:B105)</f>
        <v>9</v>
      </c>
      <c r="F38" s="68">
        <f>_xlfn.XLOOKUP(Dashboard!B41, Analyse!A40:A54, Analyse!B40:B54)</f>
        <v>0.315</v>
      </c>
      <c r="G38" s="69">
        <f>_xlfn.XLOOKUP(Dashboard!B41,Analyse!A57:A71,Analyse!C57:C71)</f>
        <v>0.44500000000000001</v>
      </c>
      <c r="H38" s="70">
        <f>_xlfn.XLOOKUP(Dashboard!B41,Analyse!A74:A88,Analyse!C74:C88)</f>
        <v>38.9</v>
      </c>
      <c r="I38" s="66">
        <f>_xlfn.XLOOKUP(Dashboard!B41, Analyse!A57:A71,Analyse!B57:B71)</f>
        <v>109.35</v>
      </c>
      <c r="J38" s="60"/>
      <c r="K38" s="60"/>
      <c r="L38" s="60"/>
      <c r="M38" s="60"/>
      <c r="N38" s="60"/>
      <c r="O38" s="60"/>
      <c r="P38" s="60"/>
      <c r="Q38" s="60"/>
      <c r="R38" s="60"/>
      <c r="S38" s="60"/>
      <c r="T38" s="60"/>
      <c r="U38" s="60"/>
      <c r="V38" s="60"/>
      <c r="W38" s="60"/>
      <c r="X38" s="60"/>
      <c r="Y38" s="60"/>
      <c r="Z38" s="60"/>
    </row>
    <row r="39" spans="1:26" x14ac:dyDescent="0.2">
      <c r="A39" s="60"/>
      <c r="B39" s="64"/>
      <c r="C39" s="64"/>
      <c r="D39" s="60"/>
      <c r="E39" s="67"/>
      <c r="F39" s="68"/>
      <c r="G39" s="69"/>
      <c r="H39" s="70"/>
      <c r="I39" s="66"/>
      <c r="J39" s="60"/>
      <c r="K39" s="60"/>
      <c r="L39" s="60"/>
      <c r="M39" s="60"/>
      <c r="N39" s="60"/>
      <c r="O39" s="60"/>
      <c r="P39" s="60"/>
      <c r="Q39" s="60"/>
      <c r="R39" s="60"/>
      <c r="S39" s="60"/>
      <c r="T39" s="60"/>
      <c r="U39" s="60"/>
      <c r="V39" s="60"/>
      <c r="W39" s="60"/>
      <c r="X39" s="60"/>
      <c r="Y39" s="60"/>
      <c r="Z39" s="60"/>
    </row>
    <row r="40" spans="1:26" x14ac:dyDescent="0.2">
      <c r="A40" s="60"/>
      <c r="B40" s="61"/>
      <c r="C40" s="61"/>
      <c r="D40" s="60"/>
      <c r="E40" s="67"/>
      <c r="F40" s="68"/>
      <c r="G40" s="69"/>
      <c r="H40" s="70"/>
      <c r="I40" s="66"/>
      <c r="J40" s="60"/>
      <c r="K40" s="60"/>
      <c r="L40" s="60"/>
      <c r="M40" s="60"/>
      <c r="N40" s="60"/>
      <c r="O40" s="60"/>
      <c r="P40" s="60"/>
      <c r="Q40" s="60"/>
      <c r="R40" s="60"/>
      <c r="S40" s="60"/>
      <c r="T40" s="60"/>
      <c r="U40" s="60"/>
      <c r="V40" s="60"/>
      <c r="W40" s="60"/>
      <c r="X40" s="60"/>
      <c r="Y40" s="60"/>
      <c r="Z40" s="60"/>
    </row>
    <row r="41" spans="1:26" ht="14.25" customHeight="1" x14ac:dyDescent="0.2">
      <c r="A41" s="60"/>
      <c r="B41" s="64" t="s">
        <v>21</v>
      </c>
      <c r="C41" s="64"/>
      <c r="D41" s="60"/>
      <c r="E41" s="67"/>
      <c r="F41" s="68"/>
      <c r="G41" s="69"/>
      <c r="H41" s="70"/>
      <c r="I41" s="66"/>
      <c r="J41" s="60"/>
      <c r="K41" s="60"/>
      <c r="L41" s="60"/>
      <c r="M41" s="60"/>
      <c r="N41" s="60"/>
      <c r="O41" s="60"/>
      <c r="P41" s="60"/>
      <c r="Q41" s="60"/>
      <c r="R41" s="60"/>
      <c r="S41" s="60"/>
      <c r="T41" s="60"/>
      <c r="U41" s="60"/>
      <c r="V41" s="60"/>
      <c r="W41" s="60"/>
      <c r="X41" s="60"/>
      <c r="Y41" s="60"/>
      <c r="Z41" s="60"/>
    </row>
    <row r="42" spans="1:26" ht="14.25" customHeight="1" x14ac:dyDescent="0.2">
      <c r="A42" s="60"/>
      <c r="B42" s="64"/>
      <c r="C42" s="64"/>
      <c r="D42" s="60"/>
      <c r="E42" s="67"/>
      <c r="F42" s="68"/>
      <c r="G42" s="69"/>
      <c r="H42" s="70"/>
      <c r="I42" s="66"/>
      <c r="J42" s="60"/>
      <c r="K42" s="60"/>
      <c r="L42" s="60"/>
      <c r="M42" s="60"/>
      <c r="N42" s="60"/>
      <c r="O42" s="60"/>
      <c r="P42" s="60"/>
      <c r="Q42" s="60"/>
      <c r="R42" s="60"/>
      <c r="S42" s="60"/>
      <c r="T42" s="60"/>
      <c r="U42" s="60"/>
      <c r="V42" s="60"/>
      <c r="W42" s="60"/>
      <c r="X42" s="60"/>
      <c r="Y42" s="60"/>
      <c r="Z42" s="60"/>
    </row>
    <row r="43" spans="1:26" ht="14.25" customHeight="1" x14ac:dyDescent="0.2">
      <c r="A43" s="60"/>
      <c r="B43" s="64"/>
      <c r="C43" s="64"/>
      <c r="D43" s="60"/>
      <c r="E43" s="67"/>
      <c r="F43" s="68"/>
      <c r="G43" s="69"/>
      <c r="H43" s="70"/>
      <c r="I43" s="66"/>
      <c r="J43" s="60"/>
      <c r="K43" s="60"/>
      <c r="L43" s="60"/>
      <c r="M43" s="60"/>
      <c r="N43" s="60"/>
      <c r="O43" s="60"/>
      <c r="P43" s="60"/>
      <c r="Q43" s="60"/>
      <c r="R43" s="60"/>
      <c r="S43" s="60"/>
      <c r="T43" s="60"/>
      <c r="U43" s="60"/>
      <c r="V43" s="60"/>
      <c r="W43" s="60"/>
      <c r="X43" s="60"/>
      <c r="Y43" s="60"/>
      <c r="Z43" s="60"/>
    </row>
    <row r="44" spans="1:26" ht="14.25" customHeight="1" x14ac:dyDescent="0.2">
      <c r="A44" s="60"/>
      <c r="B44" s="64"/>
      <c r="C44" s="64"/>
      <c r="D44" s="60"/>
      <c r="E44" s="67"/>
      <c r="F44" s="68"/>
      <c r="G44" s="69"/>
      <c r="H44" s="70"/>
      <c r="I44" s="66"/>
      <c r="J44" s="60"/>
      <c r="K44" s="60"/>
      <c r="L44" s="60"/>
      <c r="M44" s="60"/>
      <c r="N44" s="60"/>
      <c r="O44" s="60"/>
      <c r="P44" s="60"/>
      <c r="Q44" s="60"/>
      <c r="R44" s="60"/>
      <c r="S44" s="60"/>
      <c r="T44" s="60"/>
      <c r="U44" s="60"/>
      <c r="V44" s="60"/>
      <c r="W44" s="60"/>
      <c r="X44" s="60"/>
      <c r="Y44" s="60"/>
      <c r="Z44" s="60"/>
    </row>
    <row r="45" spans="1:26" ht="14.25" customHeight="1" x14ac:dyDescent="0.2">
      <c r="A45" s="60"/>
      <c r="B45" s="64"/>
      <c r="C45" s="64"/>
      <c r="D45" s="60"/>
      <c r="E45" s="67"/>
      <c r="F45" s="68"/>
      <c r="G45" s="69"/>
      <c r="H45" s="70"/>
      <c r="I45" s="66"/>
      <c r="J45" s="60"/>
      <c r="K45" s="60"/>
      <c r="L45" s="60"/>
      <c r="M45" s="60"/>
      <c r="N45" s="60"/>
      <c r="O45" s="60"/>
      <c r="P45" s="60"/>
      <c r="Q45" s="60"/>
      <c r="R45" s="60"/>
      <c r="S45" s="60"/>
      <c r="T45" s="60"/>
      <c r="U45" s="60"/>
      <c r="V45" s="60"/>
      <c r="W45" s="60"/>
      <c r="X45" s="60"/>
      <c r="Y45" s="60"/>
      <c r="Z45" s="60"/>
    </row>
    <row r="46" spans="1:26" ht="14.25" customHeight="1" x14ac:dyDescent="0.2">
      <c r="A46" s="60"/>
      <c r="B46" s="63"/>
      <c r="C46" s="63"/>
      <c r="D46" s="60"/>
      <c r="E46" s="60"/>
      <c r="F46" s="60"/>
      <c r="G46" s="60"/>
      <c r="H46" s="60"/>
      <c r="I46" s="60"/>
      <c r="J46" s="60"/>
      <c r="K46" s="60"/>
      <c r="L46" s="60"/>
      <c r="M46" s="60"/>
      <c r="N46" s="60"/>
      <c r="O46" s="60"/>
      <c r="P46" s="60"/>
      <c r="Q46" s="60"/>
      <c r="R46" s="60"/>
      <c r="S46" s="60"/>
      <c r="T46" s="60"/>
      <c r="U46" s="60"/>
      <c r="V46" s="60"/>
      <c r="W46" s="60"/>
      <c r="X46" s="60"/>
      <c r="Y46" s="60"/>
      <c r="Z46" s="60"/>
    </row>
  </sheetData>
  <sheetProtection selectLockedCells="1"/>
  <mergeCells count="12">
    <mergeCell ref="B35:C39"/>
    <mergeCell ref="B41:C45"/>
    <mergeCell ref="E30:E37"/>
    <mergeCell ref="F30:F37"/>
    <mergeCell ref="I30:I37"/>
    <mergeCell ref="I38:I45"/>
    <mergeCell ref="G30:G37"/>
    <mergeCell ref="H30:H37"/>
    <mergeCell ref="E38:E45"/>
    <mergeCell ref="F38:F45"/>
    <mergeCell ref="G38:G45"/>
    <mergeCell ref="H38:H45"/>
  </mergeCells>
  <conditionalFormatting pivot="1" sqref="F14:F28">
    <cfRule type="dataBar" priority="5">
      <dataBar>
        <cfvo type="min"/>
        <cfvo type="max"/>
        <color rgb="FF63C384"/>
      </dataBar>
      <extLst>
        <ext xmlns:x14="http://schemas.microsoft.com/office/spreadsheetml/2009/9/main" uri="{B025F937-C7B1-47D3-B67F-A62EFF666E3E}">
          <x14:id>{1C637D31-AC0E-4914-8CD0-96E58F3EF72B}</x14:id>
        </ext>
      </extLst>
    </cfRule>
  </conditionalFormatting>
  <conditionalFormatting pivot="1" sqref="G14:G28">
    <cfRule type="colorScale" priority="4">
      <colorScale>
        <cfvo type="min"/>
        <cfvo type="percentile" val="50"/>
        <cfvo type="max"/>
        <color rgb="FF5A8AC6"/>
        <color rgb="FFFCFCFF"/>
        <color rgb="FFF8696B"/>
      </colorScale>
    </cfRule>
  </conditionalFormatting>
  <conditionalFormatting pivot="1" sqref="I14:I28">
    <cfRule type="dataBar" priority="3">
      <dataBar>
        <cfvo type="min"/>
        <cfvo type="max"/>
        <color rgb="FF63C384"/>
      </dataBar>
      <extLst>
        <ext xmlns:x14="http://schemas.microsoft.com/office/spreadsheetml/2009/9/main" uri="{B025F937-C7B1-47D3-B67F-A62EFF666E3E}">
          <x14:id>{13586032-09A6-488A-BED2-87E6D771044B}</x14:id>
        </ext>
      </extLst>
    </cfRule>
  </conditionalFormatting>
  <conditionalFormatting pivot="1" sqref="J14:J28">
    <cfRule type="colorScale" priority="2">
      <colorScale>
        <cfvo type="min"/>
        <cfvo type="percentile" val="50"/>
        <cfvo type="max"/>
        <color rgb="FFF8696B"/>
        <color rgb="FFFCFCFF"/>
        <color rgb="FF5A8AC6"/>
      </colorScale>
    </cfRule>
  </conditionalFormatting>
  <conditionalFormatting pivot="1" sqref="H14:H28">
    <cfRule type="dataBar" priority="1">
      <dataBar>
        <cfvo type="min"/>
        <cfvo type="max"/>
        <color rgb="FF008AEF"/>
      </dataBar>
      <extLst>
        <ext xmlns:x14="http://schemas.microsoft.com/office/spreadsheetml/2009/9/main" uri="{B025F937-C7B1-47D3-B67F-A62EFF666E3E}">
          <x14:id>{669456EB-B4B8-4CF7-A659-262E4E3465CD}</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1C637D31-AC0E-4914-8CD0-96E58F3EF72B}">
            <x14:dataBar minLength="0" maxLength="100" border="1" negativeBarBorderColorSameAsPositive="0">
              <x14:cfvo type="autoMin"/>
              <x14:cfvo type="autoMax"/>
              <x14:borderColor rgb="FF63C384"/>
              <x14:negativeFillColor rgb="FFFF0000"/>
              <x14:negativeBorderColor rgb="FFFF0000"/>
              <x14:axisColor rgb="FF000000"/>
            </x14:dataBar>
          </x14:cfRule>
          <xm:sqref>F14:F28</xm:sqref>
        </x14:conditionalFormatting>
        <x14:conditionalFormatting xmlns:xm="http://schemas.microsoft.com/office/excel/2006/main" pivot="1">
          <x14:cfRule type="dataBar" id="{13586032-09A6-488A-BED2-87E6D771044B}">
            <x14:dataBar minLength="0" maxLength="100" border="1" negativeBarBorderColorSameAsPositive="0">
              <x14:cfvo type="autoMin"/>
              <x14:cfvo type="autoMax"/>
              <x14:borderColor rgb="FF63C384"/>
              <x14:negativeFillColor rgb="FFFF0000"/>
              <x14:negativeBorderColor rgb="FFFF0000"/>
              <x14:axisColor rgb="FF000000"/>
            </x14:dataBar>
          </x14:cfRule>
          <xm:sqref>I14:I28</xm:sqref>
        </x14:conditionalFormatting>
        <x14:conditionalFormatting xmlns:xm="http://schemas.microsoft.com/office/excel/2006/main" pivot="1">
          <x14:cfRule type="dataBar" id="{669456EB-B4B8-4CF7-A659-262E4E3465CD}">
            <x14:dataBar minLength="0" maxLength="100" border="1" negativeBarBorderColorSameAsPositive="0">
              <x14:cfvo type="autoMin"/>
              <x14:cfvo type="autoMax"/>
              <x14:borderColor rgb="FF008AEF"/>
              <x14:negativeFillColor rgb="FFFF0000"/>
              <x14:negativeBorderColor rgb="FFFF0000"/>
              <x14:axisColor rgb="FF000000"/>
            </x14:dataBar>
          </x14:cfRule>
          <xm:sqref>H14:H28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CE3370D-28BC-424F-BB01-CCA3F80E3B79}">
          <x14:formula1>
            <xm:f>Analyse!$A$40:$A$54</xm:f>
          </x14:formula1>
          <xm:sqref>B41 B46:C46</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F486-0C54-4B10-A538-61F04DCF4EE2}">
  <sheetPr codeName="Sheet2"/>
  <dimension ref="A1:E46"/>
  <sheetViews>
    <sheetView showGridLines="0" workbookViewId="0"/>
  </sheetViews>
  <sheetFormatPr baseColWidth="10" defaultColWidth="8.83203125" defaultRowHeight="22" x14ac:dyDescent="0.3"/>
  <cols>
    <col min="1" max="1" width="3.6640625" style="42" customWidth="1"/>
    <col min="2" max="2" width="79.5" style="42" bestFit="1" customWidth="1"/>
    <col min="3" max="4" width="8.83203125" style="42"/>
    <col min="5" max="5" width="3.6640625" style="42" customWidth="1"/>
    <col min="6" max="16384" width="8.83203125" style="42"/>
  </cols>
  <sheetData>
    <row r="1" spans="1:5" x14ac:dyDescent="0.3">
      <c r="A1" s="57"/>
      <c r="B1" s="57"/>
      <c r="C1" s="57"/>
      <c r="D1" s="57"/>
      <c r="E1" s="57"/>
    </row>
    <row r="2" spans="1:5" x14ac:dyDescent="0.3">
      <c r="A2" s="57"/>
      <c r="B2" s="46"/>
      <c r="C2" s="46"/>
      <c r="D2" s="46"/>
      <c r="E2" s="57"/>
    </row>
    <row r="3" spans="1:5" x14ac:dyDescent="0.3">
      <c r="A3" s="57"/>
      <c r="B3" s="46"/>
      <c r="C3" s="46"/>
      <c r="D3" s="46"/>
      <c r="E3" s="57"/>
    </row>
    <row r="4" spans="1:5" x14ac:dyDescent="0.3">
      <c r="A4" s="57"/>
      <c r="B4" s="46"/>
      <c r="C4" s="46"/>
      <c r="D4" s="46"/>
      <c r="E4" s="57"/>
    </row>
    <row r="5" spans="1:5" x14ac:dyDescent="0.3">
      <c r="A5" s="57"/>
      <c r="B5" s="46"/>
      <c r="C5" s="46"/>
      <c r="D5" s="46"/>
      <c r="E5" s="57"/>
    </row>
    <row r="6" spans="1:5" x14ac:dyDescent="0.3">
      <c r="A6" s="57"/>
      <c r="B6" s="46"/>
      <c r="C6" s="46"/>
      <c r="D6" s="46"/>
      <c r="E6" s="57"/>
    </row>
    <row r="7" spans="1:5" x14ac:dyDescent="0.3">
      <c r="A7" s="57"/>
      <c r="B7" s="46"/>
      <c r="C7" s="46"/>
      <c r="D7" s="46"/>
      <c r="E7" s="57"/>
    </row>
    <row r="8" spans="1:5" x14ac:dyDescent="0.3">
      <c r="A8" s="57"/>
      <c r="B8" s="43" t="s">
        <v>69</v>
      </c>
      <c r="C8" s="46"/>
      <c r="D8" s="46"/>
      <c r="E8" s="57"/>
    </row>
    <row r="9" spans="1:5" x14ac:dyDescent="0.3">
      <c r="A9" s="57"/>
      <c r="B9" s="44"/>
      <c r="C9" s="46"/>
      <c r="D9" s="46"/>
      <c r="E9" s="57"/>
    </row>
    <row r="10" spans="1:5" x14ac:dyDescent="0.3">
      <c r="A10" s="57"/>
      <c r="B10" s="43" t="s">
        <v>71</v>
      </c>
      <c r="C10" s="46"/>
      <c r="D10" s="46"/>
      <c r="E10" s="57"/>
    </row>
    <row r="11" spans="1:5" x14ac:dyDescent="0.3">
      <c r="A11" s="57"/>
      <c r="B11" s="44"/>
      <c r="C11" s="46"/>
      <c r="D11" s="46"/>
      <c r="E11" s="57"/>
    </row>
    <row r="12" spans="1:5" x14ac:dyDescent="0.3">
      <c r="A12" s="57"/>
      <c r="B12" s="43" t="s">
        <v>74</v>
      </c>
      <c r="C12" s="46"/>
      <c r="D12" s="46"/>
      <c r="E12" s="57"/>
    </row>
    <row r="13" spans="1:5" x14ac:dyDescent="0.3">
      <c r="A13" s="57"/>
      <c r="B13" s="47" t="s">
        <v>63</v>
      </c>
      <c r="C13" s="46"/>
      <c r="D13" s="46"/>
      <c r="E13" s="57"/>
    </row>
    <row r="14" spans="1:5" x14ac:dyDescent="0.3">
      <c r="A14" s="57"/>
      <c r="B14" s="43" t="s">
        <v>75</v>
      </c>
      <c r="C14" s="46"/>
      <c r="D14" s="46"/>
      <c r="E14" s="57"/>
    </row>
    <row r="15" spans="1:5" x14ac:dyDescent="0.3">
      <c r="A15" s="57"/>
      <c r="B15" s="44" t="s">
        <v>70</v>
      </c>
      <c r="C15" s="46"/>
      <c r="D15" s="46"/>
      <c r="E15" s="57"/>
    </row>
    <row r="16" spans="1:5" x14ac:dyDescent="0.3">
      <c r="A16" s="57"/>
      <c r="B16" s="44" t="s">
        <v>8</v>
      </c>
      <c r="C16" s="46"/>
      <c r="D16" s="46"/>
      <c r="E16" s="57"/>
    </row>
    <row r="17" spans="1:5" x14ac:dyDescent="0.3">
      <c r="A17" s="57"/>
      <c r="B17" s="44" t="s">
        <v>9</v>
      </c>
      <c r="C17" s="46"/>
      <c r="D17" s="46"/>
      <c r="E17" s="57"/>
    </row>
    <row r="18" spans="1:5" x14ac:dyDescent="0.3">
      <c r="A18" s="57"/>
      <c r="B18" s="44" t="s">
        <v>2</v>
      </c>
      <c r="C18" s="46"/>
      <c r="D18" s="46"/>
      <c r="E18" s="57"/>
    </row>
    <row r="19" spans="1:5" x14ac:dyDescent="0.3">
      <c r="A19" s="57"/>
      <c r="B19" s="44" t="s">
        <v>47</v>
      </c>
      <c r="C19" s="46"/>
      <c r="D19" s="46"/>
      <c r="E19" s="57"/>
    </row>
    <row r="20" spans="1:5" x14ac:dyDescent="0.3">
      <c r="A20" s="57"/>
      <c r="B20" s="44" t="s">
        <v>3</v>
      </c>
      <c r="C20" s="46"/>
      <c r="D20" s="46"/>
      <c r="E20" s="57"/>
    </row>
    <row r="21" spans="1:5" x14ac:dyDescent="0.3">
      <c r="A21" s="57"/>
      <c r="B21" s="44" t="s">
        <v>4</v>
      </c>
      <c r="C21" s="46"/>
      <c r="D21" s="46"/>
      <c r="E21" s="57"/>
    </row>
    <row r="22" spans="1:5" x14ac:dyDescent="0.3">
      <c r="A22" s="57"/>
      <c r="B22" s="44" t="s">
        <v>37</v>
      </c>
      <c r="C22" s="46"/>
      <c r="D22" s="46"/>
      <c r="E22" s="57"/>
    </row>
    <row r="23" spans="1:5" x14ac:dyDescent="0.3">
      <c r="A23" s="57"/>
      <c r="B23" s="44" t="s">
        <v>5</v>
      </c>
      <c r="C23" s="46"/>
      <c r="D23" s="46"/>
      <c r="E23" s="57"/>
    </row>
    <row r="24" spans="1:5" x14ac:dyDescent="0.3">
      <c r="A24" s="57"/>
      <c r="B24" s="44" t="s">
        <v>6</v>
      </c>
      <c r="C24" s="46"/>
      <c r="D24" s="46"/>
      <c r="E24" s="57"/>
    </row>
    <row r="25" spans="1:5" x14ac:dyDescent="0.3">
      <c r="A25" s="57"/>
      <c r="B25" s="44"/>
      <c r="C25" s="46"/>
      <c r="D25" s="46"/>
      <c r="E25" s="57"/>
    </row>
    <row r="26" spans="1:5" x14ac:dyDescent="0.3">
      <c r="A26" s="57"/>
      <c r="B26" s="43" t="s">
        <v>72</v>
      </c>
      <c r="C26" s="46"/>
      <c r="D26" s="46"/>
      <c r="E26" s="57"/>
    </row>
    <row r="27" spans="1:5" x14ac:dyDescent="0.3">
      <c r="A27" s="57"/>
      <c r="B27" s="44"/>
      <c r="C27" s="46"/>
      <c r="D27" s="46"/>
      <c r="E27" s="57"/>
    </row>
    <row r="28" spans="1:5" x14ac:dyDescent="0.3">
      <c r="A28" s="57"/>
      <c r="B28" s="43" t="s">
        <v>76</v>
      </c>
      <c r="C28" s="46"/>
      <c r="D28" s="46"/>
      <c r="E28" s="57"/>
    </row>
    <row r="29" spans="1:5" x14ac:dyDescent="0.3">
      <c r="A29" s="58"/>
      <c r="B29" s="45" t="s">
        <v>65</v>
      </c>
      <c r="C29" s="48"/>
      <c r="D29" s="48"/>
      <c r="E29" s="58"/>
    </row>
    <row r="30" spans="1:5" x14ac:dyDescent="0.3">
      <c r="A30" s="58"/>
      <c r="B30" s="45" t="s">
        <v>66</v>
      </c>
      <c r="C30" s="48"/>
      <c r="D30" s="48"/>
      <c r="E30" s="58"/>
    </row>
    <row r="31" spans="1:5" x14ac:dyDescent="0.3">
      <c r="A31" s="57"/>
      <c r="B31" s="43" t="s">
        <v>75</v>
      </c>
      <c r="C31" s="46"/>
      <c r="D31" s="46"/>
      <c r="E31" s="57"/>
    </row>
    <row r="32" spans="1:5" x14ac:dyDescent="0.3">
      <c r="A32" s="57"/>
      <c r="B32" s="44" t="s">
        <v>7</v>
      </c>
      <c r="C32" s="46"/>
      <c r="D32" s="46"/>
      <c r="E32" s="57"/>
    </row>
    <row r="33" spans="1:5" x14ac:dyDescent="0.3">
      <c r="A33" s="57"/>
      <c r="B33" s="44" t="s">
        <v>46</v>
      </c>
      <c r="C33" s="46"/>
      <c r="D33" s="46"/>
      <c r="E33" s="57"/>
    </row>
    <row r="34" spans="1:5" x14ac:dyDescent="0.3">
      <c r="A34" s="57"/>
      <c r="B34" s="44"/>
      <c r="C34" s="46"/>
      <c r="D34" s="46"/>
      <c r="E34" s="57"/>
    </row>
    <row r="35" spans="1:5" x14ac:dyDescent="0.3">
      <c r="A35" s="57"/>
      <c r="B35" s="43" t="s">
        <v>73</v>
      </c>
      <c r="C35" s="46"/>
      <c r="D35" s="46"/>
      <c r="E35" s="57"/>
    </row>
    <row r="36" spans="1:5" x14ac:dyDescent="0.3">
      <c r="A36" s="57"/>
      <c r="B36" s="43"/>
      <c r="C36" s="46"/>
      <c r="D36" s="46"/>
      <c r="E36" s="57"/>
    </row>
    <row r="37" spans="1:5" x14ac:dyDescent="0.3">
      <c r="A37" s="57"/>
      <c r="B37" s="43" t="s">
        <v>74</v>
      </c>
      <c r="C37" s="46"/>
      <c r="D37" s="46"/>
      <c r="E37" s="57"/>
    </row>
    <row r="38" spans="1:5" x14ac:dyDescent="0.3">
      <c r="A38" s="57"/>
      <c r="B38" s="47" t="s">
        <v>68</v>
      </c>
      <c r="C38" s="46"/>
      <c r="D38" s="46"/>
      <c r="E38" s="57"/>
    </row>
    <row r="39" spans="1:5" x14ac:dyDescent="0.3">
      <c r="A39" s="57"/>
      <c r="B39" s="43" t="s">
        <v>75</v>
      </c>
      <c r="C39" s="46"/>
      <c r="D39" s="46"/>
      <c r="E39" s="57"/>
    </row>
    <row r="40" spans="1:5" x14ac:dyDescent="0.3">
      <c r="A40" s="57"/>
      <c r="B40" s="44" t="s">
        <v>44</v>
      </c>
      <c r="C40" s="46"/>
      <c r="D40" s="46"/>
      <c r="E40" s="57"/>
    </row>
    <row r="41" spans="1:5" x14ac:dyDescent="0.3">
      <c r="A41" s="57"/>
      <c r="B41" s="44" t="s">
        <v>45</v>
      </c>
      <c r="C41" s="46"/>
      <c r="D41" s="46"/>
      <c r="E41" s="57"/>
    </row>
    <row r="42" spans="1:5" x14ac:dyDescent="0.3">
      <c r="A42" s="57"/>
      <c r="B42" s="46"/>
      <c r="C42" s="46"/>
      <c r="D42" s="46"/>
      <c r="E42" s="57"/>
    </row>
    <row r="43" spans="1:5" x14ac:dyDescent="0.3">
      <c r="A43" s="59"/>
      <c r="B43" s="49"/>
      <c r="C43" s="49"/>
      <c r="D43" s="49"/>
      <c r="E43" s="59"/>
    </row>
    <row r="44" spans="1:5" x14ac:dyDescent="0.3">
      <c r="A44" s="59"/>
      <c r="B44" s="49"/>
      <c r="C44" s="49"/>
      <c r="D44" s="49"/>
      <c r="E44" s="59"/>
    </row>
    <row r="45" spans="1:5" x14ac:dyDescent="0.3">
      <c r="A45" s="59"/>
      <c r="B45" s="49"/>
      <c r="C45" s="49"/>
      <c r="D45" s="49"/>
      <c r="E45" s="59"/>
    </row>
    <row r="46" spans="1:5" x14ac:dyDescent="0.3">
      <c r="A46" s="59"/>
      <c r="B46" s="59"/>
      <c r="C46" s="59"/>
      <c r="D46" s="59"/>
      <c r="E46" s="59"/>
    </row>
  </sheetData>
  <hyperlinks>
    <hyperlink ref="B13" r:id="rId1" xr:uid="{64189AE0-EA58-7942-829F-F23CDAE763BF}"/>
    <hyperlink ref="B29" r:id="rId2" xr:uid="{628A8F78-0C75-C74D-AF59-FD6435BF8566}"/>
    <hyperlink ref="B30" r:id="rId3" xr:uid="{C16B5464-94DD-5340-A923-40284FAAA741}"/>
    <hyperlink ref="B38" r:id="rId4" xr:uid="{F3A8BD3A-7F2A-8C41-B13D-D65644139696}"/>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00BCD-BC67-4EEF-898D-45881C684880}">
  <sheetPr codeName="Sheet3"/>
  <dimension ref="A2:E105"/>
  <sheetViews>
    <sheetView showGridLines="0" workbookViewId="0"/>
  </sheetViews>
  <sheetFormatPr baseColWidth="10" defaultColWidth="18.1640625" defaultRowHeight="15" x14ac:dyDescent="0.2"/>
  <cols>
    <col min="1" max="1" width="18" style="2" bestFit="1" customWidth="1"/>
    <col min="2" max="2" width="13.6640625" style="2" bestFit="1" customWidth="1"/>
    <col min="3" max="3" width="13.5" style="2" bestFit="1" customWidth="1"/>
    <col min="4" max="4" width="20.5" style="2" bestFit="1" customWidth="1"/>
    <col min="5" max="5" width="19" style="2" bestFit="1" customWidth="1"/>
  </cols>
  <sheetData>
    <row r="2" spans="1:5" x14ac:dyDescent="0.2">
      <c r="A2" s="2" t="s">
        <v>48</v>
      </c>
      <c r="B2" s="2" t="s">
        <v>49</v>
      </c>
      <c r="C2" s="2" t="s">
        <v>50</v>
      </c>
      <c r="D2" s="2" t="s">
        <v>51</v>
      </c>
      <c r="E2" s="2" t="s">
        <v>52</v>
      </c>
    </row>
    <row r="3" spans="1:5" x14ac:dyDescent="0.2">
      <c r="A3" s="9">
        <v>6263</v>
      </c>
      <c r="B3" s="3">
        <v>76074121</v>
      </c>
      <c r="C3" s="4">
        <v>44561.866666666669</v>
      </c>
      <c r="D3" s="5">
        <v>2.3266666666666665E-2</v>
      </c>
      <c r="E3" s="5">
        <v>4.4666666666666665E-3</v>
      </c>
    </row>
    <row r="5" spans="1:5" x14ac:dyDescent="0.2">
      <c r="A5" s="41" t="s">
        <v>0</v>
      </c>
      <c r="B5" s="2" t="s">
        <v>54</v>
      </c>
    </row>
    <row r="6" spans="1:5" x14ac:dyDescent="0.2">
      <c r="A6" s="2" t="s">
        <v>21</v>
      </c>
      <c r="B6" s="2">
        <v>71404</v>
      </c>
    </row>
    <row r="7" spans="1:5" x14ac:dyDescent="0.2">
      <c r="A7" s="2" t="s">
        <v>17</v>
      </c>
      <c r="B7" s="2">
        <v>83569</v>
      </c>
    </row>
    <row r="8" spans="1:5" x14ac:dyDescent="0.2">
      <c r="A8" s="2" t="s">
        <v>18</v>
      </c>
      <c r="B8" s="2">
        <v>56273</v>
      </c>
    </row>
    <row r="9" spans="1:5" x14ac:dyDescent="0.2">
      <c r="A9" s="2" t="s">
        <v>22</v>
      </c>
      <c r="B9" s="2">
        <v>10554</v>
      </c>
    </row>
    <row r="10" spans="1:5" x14ac:dyDescent="0.2">
      <c r="A10" s="2" t="s">
        <v>16</v>
      </c>
      <c r="B10" s="2">
        <v>86943</v>
      </c>
    </row>
    <row r="11" spans="1:5" x14ac:dyDescent="0.2">
      <c r="A11" s="2" t="s">
        <v>15</v>
      </c>
      <c r="B11" s="2">
        <v>77347</v>
      </c>
    </row>
    <row r="12" spans="1:5" x14ac:dyDescent="0.2">
      <c r="A12" s="2" t="s">
        <v>10</v>
      </c>
      <c r="B12" s="2">
        <v>9350</v>
      </c>
    </row>
    <row r="13" spans="1:5" x14ac:dyDescent="0.2">
      <c r="A13" s="2" t="s">
        <v>26</v>
      </c>
      <c r="B13" s="2">
        <v>8719</v>
      </c>
    </row>
    <row r="14" spans="1:5" x14ac:dyDescent="0.2">
      <c r="A14" s="2" t="s">
        <v>27</v>
      </c>
      <c r="B14" s="2">
        <v>70699</v>
      </c>
    </row>
    <row r="15" spans="1:5" x14ac:dyDescent="0.2">
      <c r="A15" s="2" t="s">
        <v>23</v>
      </c>
      <c r="B15" s="2">
        <v>77116</v>
      </c>
    </row>
    <row r="16" spans="1:5" x14ac:dyDescent="0.2">
      <c r="A16" s="2" t="s">
        <v>1</v>
      </c>
      <c r="B16" s="2">
        <v>84898</v>
      </c>
    </row>
    <row r="17" spans="1:3" x14ac:dyDescent="0.2">
      <c r="A17" s="2" t="s">
        <v>19</v>
      </c>
      <c r="B17" s="2">
        <v>9615</v>
      </c>
    </row>
    <row r="18" spans="1:3" x14ac:dyDescent="0.2">
      <c r="A18" s="2" t="s">
        <v>25</v>
      </c>
      <c r="B18" s="2">
        <v>42775</v>
      </c>
    </row>
    <row r="19" spans="1:3" x14ac:dyDescent="0.2">
      <c r="A19" s="2" t="s">
        <v>20</v>
      </c>
      <c r="B19" s="2">
        <v>71301</v>
      </c>
    </row>
    <row r="20" spans="1:3" x14ac:dyDescent="0.2">
      <c r="A20" s="2" t="s">
        <v>24</v>
      </c>
      <c r="B20" s="2">
        <v>97810</v>
      </c>
    </row>
    <row r="22" spans="1:3" x14ac:dyDescent="0.2">
      <c r="A22" s="41" t="s">
        <v>0</v>
      </c>
      <c r="B22" s="2" t="s">
        <v>55</v>
      </c>
      <c r="C22" s="2" t="s">
        <v>56</v>
      </c>
    </row>
    <row r="23" spans="1:3" x14ac:dyDescent="0.2">
      <c r="A23" s="2" t="s">
        <v>21</v>
      </c>
      <c r="B23" s="6">
        <v>0.127</v>
      </c>
      <c r="C23" s="5">
        <v>3.9219999999999998E-2</v>
      </c>
    </row>
    <row r="24" spans="1:3" x14ac:dyDescent="0.2">
      <c r="A24" s="2" t="s">
        <v>17</v>
      </c>
      <c r="B24" s="6">
        <v>0.107</v>
      </c>
      <c r="C24" s="5">
        <v>2.4660000000000001E-2</v>
      </c>
    </row>
    <row r="25" spans="1:3" x14ac:dyDescent="0.2">
      <c r="A25" s="2" t="s">
        <v>18</v>
      </c>
      <c r="B25" s="6">
        <v>0.126</v>
      </c>
      <c r="C25" s="5">
        <v>2.4660000000000001E-2</v>
      </c>
    </row>
    <row r="26" spans="1:3" x14ac:dyDescent="0.2">
      <c r="A26" s="2" t="s">
        <v>22</v>
      </c>
      <c r="B26" s="6">
        <v>0.104</v>
      </c>
      <c r="C26" s="5">
        <v>2.4150000000000001E-2</v>
      </c>
    </row>
    <row r="27" spans="1:3" x14ac:dyDescent="0.2">
      <c r="A27" s="2" t="s">
        <v>16</v>
      </c>
      <c r="B27" s="6">
        <v>9.6000000000000002E-2</v>
      </c>
      <c r="C27" s="5">
        <v>4.5269999999999998E-2</v>
      </c>
    </row>
    <row r="28" spans="1:3" x14ac:dyDescent="0.2">
      <c r="A28" s="2" t="s">
        <v>15</v>
      </c>
      <c r="B28" s="6">
        <v>0.112</v>
      </c>
      <c r="C28" s="5">
        <v>4.1520000000000001E-2</v>
      </c>
    </row>
    <row r="29" spans="1:3" x14ac:dyDescent="0.2">
      <c r="A29" s="2" t="s">
        <v>10</v>
      </c>
      <c r="B29" s="6">
        <v>7.1999999999999995E-2</v>
      </c>
      <c r="C29" s="5">
        <v>2.3439999999999999E-2</v>
      </c>
    </row>
    <row r="30" spans="1:3" x14ac:dyDescent="0.2">
      <c r="A30" s="2" t="s">
        <v>26</v>
      </c>
      <c r="B30" s="6">
        <v>9.7000000000000003E-2</v>
      </c>
      <c r="C30" s="5">
        <v>2.512E-2</v>
      </c>
    </row>
    <row r="31" spans="1:3" x14ac:dyDescent="0.2">
      <c r="A31" s="2" t="s">
        <v>27</v>
      </c>
      <c r="B31" s="6">
        <v>0.115</v>
      </c>
      <c r="C31" s="5">
        <v>4.5769999999999998E-2</v>
      </c>
    </row>
    <row r="32" spans="1:3" x14ac:dyDescent="0.2">
      <c r="A32" s="2" t="s">
        <v>23</v>
      </c>
      <c r="B32" s="6">
        <v>0.125</v>
      </c>
      <c r="C32" s="5">
        <v>4.4150000000000002E-2</v>
      </c>
    </row>
    <row r="33" spans="1:3" x14ac:dyDescent="0.2">
      <c r="A33" s="2" t="s">
        <v>1</v>
      </c>
      <c r="B33" s="6">
        <v>8.2000000000000003E-2</v>
      </c>
      <c r="C33" s="5">
        <v>5.1900000000000002E-2</v>
      </c>
    </row>
    <row r="34" spans="1:3" x14ac:dyDescent="0.2">
      <c r="A34" s="2" t="s">
        <v>19</v>
      </c>
      <c r="B34" s="6">
        <v>0.104</v>
      </c>
      <c r="C34" s="5">
        <v>2.6069999999999999E-2</v>
      </c>
    </row>
    <row r="35" spans="1:3" x14ac:dyDescent="0.2">
      <c r="A35" s="2" t="s">
        <v>25</v>
      </c>
      <c r="B35" s="6">
        <v>0.106</v>
      </c>
      <c r="C35" s="5">
        <v>3.1210000000000002E-2</v>
      </c>
    </row>
    <row r="36" spans="1:3" x14ac:dyDescent="0.2">
      <c r="A36" s="2" t="s">
        <v>20</v>
      </c>
      <c r="B36" s="6">
        <v>0.1</v>
      </c>
      <c r="C36" s="5">
        <v>5.7590000000000002E-2</v>
      </c>
    </row>
    <row r="37" spans="1:3" x14ac:dyDescent="0.2">
      <c r="A37" s="2" t="s">
        <v>24</v>
      </c>
      <c r="B37" s="6">
        <v>0.11799999999999999</v>
      </c>
      <c r="C37" s="5">
        <v>3.4549999999999997E-2</v>
      </c>
    </row>
    <row r="39" spans="1:3" x14ac:dyDescent="0.2">
      <c r="A39" s="41" t="s">
        <v>0</v>
      </c>
      <c r="B39" s="2" t="s">
        <v>57</v>
      </c>
    </row>
    <row r="40" spans="1:3" x14ac:dyDescent="0.2">
      <c r="A40" s="2" t="s">
        <v>21</v>
      </c>
      <c r="B40" s="6">
        <v>0.315</v>
      </c>
    </row>
    <row r="41" spans="1:3" x14ac:dyDescent="0.2">
      <c r="A41" s="2" t="s">
        <v>17</v>
      </c>
      <c r="B41" s="6">
        <v>0.33200000000000002</v>
      </c>
    </row>
    <row r="42" spans="1:3" x14ac:dyDescent="0.2">
      <c r="A42" s="2" t="s">
        <v>18</v>
      </c>
      <c r="B42" s="6">
        <v>0.373</v>
      </c>
    </row>
    <row r="43" spans="1:3" x14ac:dyDescent="0.2">
      <c r="A43" s="2" t="s">
        <v>22</v>
      </c>
      <c r="B43" s="6">
        <v>0.26800000000000002</v>
      </c>
    </row>
    <row r="44" spans="1:3" x14ac:dyDescent="0.2">
      <c r="A44" s="2" t="s">
        <v>16</v>
      </c>
      <c r="B44" s="6">
        <v>0.33900000000000002</v>
      </c>
    </row>
    <row r="45" spans="1:3" x14ac:dyDescent="0.2">
      <c r="A45" s="2" t="s">
        <v>15</v>
      </c>
      <c r="B45" s="6">
        <v>0.35099999999999998</v>
      </c>
    </row>
    <row r="46" spans="1:3" x14ac:dyDescent="0.2">
      <c r="A46" s="2" t="s">
        <v>10</v>
      </c>
      <c r="B46" s="6">
        <v>0.29799999999999999</v>
      </c>
    </row>
    <row r="47" spans="1:3" x14ac:dyDescent="0.2">
      <c r="A47" s="2" t="s">
        <v>26</v>
      </c>
      <c r="B47" s="6">
        <v>0.28799999999999998</v>
      </c>
    </row>
    <row r="48" spans="1:3" x14ac:dyDescent="0.2">
      <c r="A48" s="2" t="s">
        <v>27</v>
      </c>
      <c r="B48" s="6">
        <v>0.35599999999999998</v>
      </c>
    </row>
    <row r="49" spans="1:3" x14ac:dyDescent="0.2">
      <c r="A49" s="2" t="s">
        <v>23</v>
      </c>
      <c r="B49" s="6">
        <v>0.37</v>
      </c>
    </row>
    <row r="50" spans="1:3" x14ac:dyDescent="0.2">
      <c r="A50" s="2" t="s">
        <v>1</v>
      </c>
      <c r="B50" s="6">
        <v>0.313</v>
      </c>
    </row>
    <row r="51" spans="1:3" x14ac:dyDescent="0.2">
      <c r="A51" s="2" t="s">
        <v>19</v>
      </c>
      <c r="B51" s="6">
        <v>0.26400000000000001</v>
      </c>
    </row>
    <row r="52" spans="1:3" x14ac:dyDescent="0.2">
      <c r="A52" s="2" t="s">
        <v>25</v>
      </c>
      <c r="B52" s="6">
        <v>0.34799999999999998</v>
      </c>
    </row>
    <row r="53" spans="1:3" x14ac:dyDescent="0.2">
      <c r="A53" s="2" t="s">
        <v>20</v>
      </c>
      <c r="B53" s="6">
        <v>0.317</v>
      </c>
    </row>
    <row r="54" spans="1:3" x14ac:dyDescent="0.2">
      <c r="A54" s="2" t="s">
        <v>24</v>
      </c>
      <c r="B54" s="6">
        <v>0.34399999999999997</v>
      </c>
    </row>
    <row r="56" spans="1:3" x14ac:dyDescent="0.2">
      <c r="A56" s="41" t="s">
        <v>0</v>
      </c>
      <c r="B56" s="2" t="s">
        <v>58</v>
      </c>
      <c r="C56" s="2" t="s">
        <v>59</v>
      </c>
    </row>
    <row r="57" spans="1:3" x14ac:dyDescent="0.2">
      <c r="A57" s="2" t="s">
        <v>21</v>
      </c>
      <c r="B57" s="7">
        <v>109.35</v>
      </c>
      <c r="C57" s="5">
        <v>0.44500000000000001</v>
      </c>
    </row>
    <row r="58" spans="1:3" x14ac:dyDescent="0.2">
      <c r="A58" s="2" t="s">
        <v>17</v>
      </c>
      <c r="B58" s="7">
        <v>97.38</v>
      </c>
      <c r="C58" s="5">
        <v>0.42099999999999999</v>
      </c>
    </row>
    <row r="59" spans="1:3" x14ac:dyDescent="0.2">
      <c r="A59" s="2" t="s">
        <v>18</v>
      </c>
      <c r="B59" s="7">
        <v>89.06</v>
      </c>
      <c r="C59" s="5">
        <v>0.443</v>
      </c>
    </row>
    <row r="60" spans="1:3" x14ac:dyDescent="0.2">
      <c r="A60" s="2" t="s">
        <v>22</v>
      </c>
      <c r="B60" s="7">
        <v>126.13</v>
      </c>
      <c r="C60" s="5">
        <v>0.54</v>
      </c>
    </row>
    <row r="61" spans="1:3" x14ac:dyDescent="0.2">
      <c r="A61" s="2" t="s">
        <v>16</v>
      </c>
      <c r="B61" s="7">
        <v>93.48</v>
      </c>
      <c r="C61" s="5">
        <v>0.51</v>
      </c>
    </row>
    <row r="62" spans="1:3" x14ac:dyDescent="0.2">
      <c r="A62" s="2" t="s">
        <v>15</v>
      </c>
      <c r="B62" s="7">
        <v>95.21</v>
      </c>
      <c r="C62" s="5">
        <v>0.46200000000000002</v>
      </c>
    </row>
    <row r="63" spans="1:3" x14ac:dyDescent="0.2">
      <c r="A63" s="2" t="s">
        <v>10</v>
      </c>
      <c r="B63" s="7">
        <v>110.46</v>
      </c>
      <c r="C63" s="5">
        <v>0.50600000000000001</v>
      </c>
    </row>
    <row r="64" spans="1:3" x14ac:dyDescent="0.2">
      <c r="A64" s="2" t="s">
        <v>26</v>
      </c>
      <c r="B64" s="7">
        <v>111.04</v>
      </c>
      <c r="C64" s="5">
        <v>0.502</v>
      </c>
    </row>
    <row r="65" spans="1:3" x14ac:dyDescent="0.2">
      <c r="A65" s="2" t="s">
        <v>27</v>
      </c>
      <c r="B65" s="7">
        <v>92.49</v>
      </c>
      <c r="C65" s="5">
        <v>0.46</v>
      </c>
    </row>
    <row r="66" spans="1:3" x14ac:dyDescent="0.2">
      <c r="A66" s="2" t="s">
        <v>23</v>
      </c>
      <c r="B66" s="7">
        <v>93.14</v>
      </c>
      <c r="C66" s="5">
        <v>0.44800000000000001</v>
      </c>
    </row>
    <row r="67" spans="1:3" x14ac:dyDescent="0.2">
      <c r="A67" s="2" t="s">
        <v>1</v>
      </c>
      <c r="B67" s="7">
        <v>102.9</v>
      </c>
      <c r="C67" s="5">
        <v>0.47899999999999998</v>
      </c>
    </row>
    <row r="68" spans="1:3" x14ac:dyDescent="0.2">
      <c r="A68" s="2" t="s">
        <v>19</v>
      </c>
      <c r="B68" s="7">
        <v>112.39</v>
      </c>
      <c r="C68" s="5">
        <v>0.53</v>
      </c>
    </row>
    <row r="69" spans="1:3" x14ac:dyDescent="0.2">
      <c r="A69" s="2" t="s">
        <v>25</v>
      </c>
      <c r="B69" s="7">
        <v>102.85</v>
      </c>
      <c r="C69" s="5">
        <v>0.498</v>
      </c>
    </row>
    <row r="70" spans="1:3" x14ac:dyDescent="0.2">
      <c r="A70" s="2" t="s">
        <v>20</v>
      </c>
      <c r="B70" s="7">
        <v>118.07</v>
      </c>
      <c r="C70" s="5">
        <v>0.495</v>
      </c>
    </row>
    <row r="71" spans="1:3" x14ac:dyDescent="0.2">
      <c r="A71" s="2" t="s">
        <v>24</v>
      </c>
      <c r="B71" s="7">
        <v>92.44</v>
      </c>
      <c r="C71" s="5">
        <v>0.41599999999999998</v>
      </c>
    </row>
    <row r="73" spans="1:3" x14ac:dyDescent="0.2">
      <c r="A73" s="41" t="s">
        <v>0</v>
      </c>
      <c r="B73" s="2" t="s">
        <v>60</v>
      </c>
      <c r="C73" s="2" t="s">
        <v>61</v>
      </c>
    </row>
    <row r="74" spans="1:3" x14ac:dyDescent="0.2">
      <c r="A74" s="2" t="s">
        <v>21</v>
      </c>
      <c r="B74" s="7">
        <v>322.3</v>
      </c>
      <c r="C74" s="2">
        <v>38.9</v>
      </c>
    </row>
    <row r="75" spans="1:3" x14ac:dyDescent="0.2">
      <c r="A75" s="2" t="s">
        <v>17</v>
      </c>
      <c r="B75" s="7">
        <v>230.1</v>
      </c>
      <c r="C75" s="2">
        <v>44.3</v>
      </c>
    </row>
    <row r="76" spans="1:3" x14ac:dyDescent="0.2">
      <c r="A76" s="2" t="s">
        <v>18</v>
      </c>
      <c r="B76" s="7">
        <v>193.9</v>
      </c>
      <c r="C76" s="2">
        <v>37.6</v>
      </c>
    </row>
    <row r="77" spans="1:3" x14ac:dyDescent="0.2">
      <c r="A77" s="2" t="s">
        <v>22</v>
      </c>
      <c r="B77" s="7">
        <v>401.2</v>
      </c>
      <c r="C77" s="2">
        <v>41.4</v>
      </c>
    </row>
    <row r="78" spans="1:3" x14ac:dyDescent="0.2">
      <c r="A78" s="2" t="s">
        <v>16</v>
      </c>
      <c r="B78" s="7">
        <v>304.2</v>
      </c>
      <c r="C78" s="2">
        <v>38.299999999999997</v>
      </c>
    </row>
    <row r="79" spans="1:3" x14ac:dyDescent="0.2">
      <c r="A79" s="2" t="s">
        <v>15</v>
      </c>
      <c r="B79" s="7">
        <v>270</v>
      </c>
      <c r="C79" s="2">
        <v>37</v>
      </c>
    </row>
    <row r="80" spans="1:3" x14ac:dyDescent="0.2">
      <c r="A80" s="2" t="s">
        <v>10</v>
      </c>
      <c r="B80" s="7">
        <v>317.89999999999998</v>
      </c>
      <c r="C80" s="2">
        <v>38.9</v>
      </c>
    </row>
    <row r="81" spans="1:3" x14ac:dyDescent="0.2">
      <c r="A81" s="2" t="s">
        <v>26</v>
      </c>
      <c r="B81" s="7">
        <v>427.8</v>
      </c>
      <c r="C81" s="2">
        <v>44.1</v>
      </c>
    </row>
    <row r="82" spans="1:3" x14ac:dyDescent="0.2">
      <c r="A82" s="2" t="s">
        <v>27</v>
      </c>
      <c r="B82" s="7">
        <v>244.3</v>
      </c>
      <c r="C82" s="2">
        <v>37</v>
      </c>
    </row>
    <row r="83" spans="1:3" x14ac:dyDescent="0.2">
      <c r="A83" s="2" t="s">
        <v>23</v>
      </c>
      <c r="B83" s="7">
        <v>191.7</v>
      </c>
      <c r="C83" s="2">
        <v>39.6</v>
      </c>
    </row>
    <row r="84" spans="1:3" x14ac:dyDescent="0.2">
      <c r="A84" s="2" t="s">
        <v>1</v>
      </c>
      <c r="B84" s="7">
        <v>314.10000000000002</v>
      </c>
      <c r="C84" s="2">
        <v>51.2</v>
      </c>
    </row>
    <row r="85" spans="1:3" x14ac:dyDescent="0.2">
      <c r="A85" s="2" t="s">
        <v>19</v>
      </c>
      <c r="B85" s="7">
        <v>408.2</v>
      </c>
      <c r="C85" s="2">
        <v>38.5</v>
      </c>
    </row>
    <row r="86" spans="1:3" x14ac:dyDescent="0.2">
      <c r="A86" s="2" t="s">
        <v>25</v>
      </c>
      <c r="B86" s="7">
        <v>505.6</v>
      </c>
      <c r="C86" s="2">
        <v>45</v>
      </c>
    </row>
    <row r="87" spans="1:3" x14ac:dyDescent="0.2">
      <c r="A87" s="2" t="s">
        <v>20</v>
      </c>
      <c r="B87" s="7">
        <v>451</v>
      </c>
      <c r="C87" s="2">
        <v>0</v>
      </c>
    </row>
    <row r="88" spans="1:3" x14ac:dyDescent="0.2">
      <c r="A88" s="2" t="s">
        <v>24</v>
      </c>
      <c r="B88" s="7">
        <v>203.2</v>
      </c>
      <c r="C88" s="2">
        <v>0</v>
      </c>
    </row>
    <row r="90" spans="1:3" x14ac:dyDescent="0.2">
      <c r="A90" s="41" t="s">
        <v>0</v>
      </c>
      <c r="B90" s="2" t="s">
        <v>53</v>
      </c>
    </row>
    <row r="91" spans="1:3" x14ac:dyDescent="0.2">
      <c r="A91" s="2" t="s">
        <v>21</v>
      </c>
      <c r="B91" s="3">
        <v>9</v>
      </c>
    </row>
    <row r="92" spans="1:3" x14ac:dyDescent="0.2">
      <c r="A92" s="2" t="s">
        <v>17</v>
      </c>
      <c r="B92" s="3">
        <v>5</v>
      </c>
    </row>
    <row r="93" spans="1:3" x14ac:dyDescent="0.2">
      <c r="A93" s="2" t="s">
        <v>18</v>
      </c>
      <c r="B93" s="3">
        <v>6</v>
      </c>
    </row>
    <row r="94" spans="1:3" x14ac:dyDescent="0.2">
      <c r="A94" s="2" t="s">
        <v>22</v>
      </c>
      <c r="B94" s="3">
        <v>10</v>
      </c>
    </row>
    <row r="95" spans="1:3" x14ac:dyDescent="0.2">
      <c r="A95" s="2" t="s">
        <v>16</v>
      </c>
      <c r="B95" s="3">
        <v>4</v>
      </c>
    </row>
    <row r="96" spans="1:3" x14ac:dyDescent="0.2">
      <c r="A96" s="2" t="s">
        <v>15</v>
      </c>
      <c r="B96" s="3">
        <v>3</v>
      </c>
    </row>
    <row r="97" spans="1:2" x14ac:dyDescent="0.2">
      <c r="A97" s="2" t="s">
        <v>10</v>
      </c>
      <c r="B97" s="3">
        <v>2</v>
      </c>
    </row>
    <row r="98" spans="1:2" x14ac:dyDescent="0.2">
      <c r="A98" s="2" t="s">
        <v>26</v>
      </c>
      <c r="B98" s="3">
        <v>14</v>
      </c>
    </row>
    <row r="99" spans="1:2" x14ac:dyDescent="0.2">
      <c r="A99" s="2" t="s">
        <v>27</v>
      </c>
      <c r="B99" s="3">
        <v>15</v>
      </c>
    </row>
    <row r="100" spans="1:2" x14ac:dyDescent="0.2">
      <c r="A100" s="2" t="s">
        <v>23</v>
      </c>
      <c r="B100" s="3">
        <v>11</v>
      </c>
    </row>
    <row r="101" spans="1:2" x14ac:dyDescent="0.2">
      <c r="A101" s="2" t="s">
        <v>1</v>
      </c>
      <c r="B101" s="3">
        <v>1</v>
      </c>
    </row>
    <row r="102" spans="1:2" x14ac:dyDescent="0.2">
      <c r="A102" s="2" t="s">
        <v>19</v>
      </c>
      <c r="B102" s="3">
        <v>7</v>
      </c>
    </row>
    <row r="103" spans="1:2" x14ac:dyDescent="0.2">
      <c r="A103" s="2" t="s">
        <v>25</v>
      </c>
      <c r="B103" s="3">
        <v>13</v>
      </c>
    </row>
    <row r="104" spans="1:2" x14ac:dyDescent="0.2">
      <c r="A104" s="2" t="s">
        <v>20</v>
      </c>
      <c r="B104" s="3">
        <v>8</v>
      </c>
    </row>
    <row r="105" spans="1:2" x14ac:dyDescent="0.2">
      <c r="A105" s="2" t="s">
        <v>24</v>
      </c>
      <c r="B105" s="3">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696EC-0922-4D1C-A6EF-5143C2EC3136}">
  <sheetPr codeName="Sheet4"/>
  <dimension ref="A1:R33"/>
  <sheetViews>
    <sheetView workbookViewId="0"/>
  </sheetViews>
  <sheetFormatPr baseColWidth="10" defaultColWidth="9.33203125" defaultRowHeight="15" x14ac:dyDescent="0.2"/>
  <cols>
    <col min="1" max="1" width="13" bestFit="1" customWidth="1"/>
    <col min="2" max="2" width="12.6640625" bestFit="1" customWidth="1"/>
    <col min="3" max="3" width="15.1640625" bestFit="1" customWidth="1"/>
    <col min="4" max="4" width="18.1640625" bestFit="1" customWidth="1"/>
    <col min="5" max="5" width="18.5" bestFit="1" customWidth="1"/>
    <col min="6" max="6" width="14.6640625" bestFit="1" customWidth="1"/>
    <col min="7" max="7" width="18" bestFit="1" customWidth="1"/>
    <col min="8" max="8" width="18.6640625" bestFit="1" customWidth="1"/>
    <col min="9" max="9" width="20.5" bestFit="1" customWidth="1"/>
    <col min="10" max="11" width="16" bestFit="1" customWidth="1"/>
    <col min="12" max="12" width="18.6640625" bestFit="1" customWidth="1"/>
    <col min="13" max="13" width="18.83203125" bestFit="1" customWidth="1"/>
    <col min="14" max="14" width="28" bestFit="1" customWidth="1"/>
    <col min="15" max="15" width="32.5" bestFit="1" customWidth="1"/>
    <col min="16" max="16" width="14.83203125" bestFit="1" customWidth="1"/>
  </cols>
  <sheetData>
    <row r="1" spans="1:18" x14ac:dyDescent="0.2">
      <c r="A1" s="8" t="s">
        <v>11</v>
      </c>
      <c r="B1" s="8" t="s">
        <v>0</v>
      </c>
      <c r="C1" s="8" t="s">
        <v>12</v>
      </c>
      <c r="D1" s="8" t="s">
        <v>8</v>
      </c>
      <c r="E1" s="8" t="s">
        <v>9</v>
      </c>
      <c r="F1" s="8" t="s">
        <v>2</v>
      </c>
      <c r="G1" s="8" t="s">
        <v>3</v>
      </c>
      <c r="H1" s="8" t="s">
        <v>4</v>
      </c>
      <c r="I1" s="8" t="s">
        <v>37</v>
      </c>
      <c r="J1" s="8" t="s">
        <v>5</v>
      </c>
      <c r="K1" s="8" t="s">
        <v>6</v>
      </c>
      <c r="L1" s="8" t="s">
        <v>47</v>
      </c>
      <c r="M1" s="8" t="s">
        <v>7</v>
      </c>
      <c r="N1" s="8" t="s">
        <v>44</v>
      </c>
      <c r="O1" s="8" t="s">
        <v>45</v>
      </c>
      <c r="P1" s="8" t="s">
        <v>46</v>
      </c>
    </row>
    <row r="2" spans="1:18" x14ac:dyDescent="0.2">
      <c r="A2" s="3">
        <v>1</v>
      </c>
      <c r="B2" s="2" t="s">
        <v>1</v>
      </c>
      <c r="C2" s="2" t="s">
        <v>13</v>
      </c>
      <c r="D2" s="3">
        <v>84898</v>
      </c>
      <c r="E2" s="9">
        <v>273</v>
      </c>
      <c r="F2" s="3">
        <v>3417734</v>
      </c>
      <c r="G2" s="4">
        <v>40959</v>
      </c>
      <c r="H2" s="5">
        <v>3.6999999999999998E-2</v>
      </c>
      <c r="I2" s="5">
        <v>6.0000000000000001E-3</v>
      </c>
      <c r="J2" s="6">
        <v>0.313</v>
      </c>
      <c r="K2" s="6">
        <v>8.2000000000000003E-2</v>
      </c>
      <c r="L2" s="5">
        <v>0.47899999999999998</v>
      </c>
      <c r="M2" s="7">
        <v>51.2</v>
      </c>
      <c r="N2" s="7">
        <v>102.9</v>
      </c>
      <c r="O2" s="7">
        <v>314.10000000000002</v>
      </c>
      <c r="P2" s="5">
        <v>5.1900000000000002E-2</v>
      </c>
      <c r="R2" s="1"/>
    </row>
    <row r="3" spans="1:18" x14ac:dyDescent="0.2">
      <c r="A3" s="3">
        <v>2</v>
      </c>
      <c r="B3" s="2" t="s">
        <v>10</v>
      </c>
      <c r="C3" s="2" t="s">
        <v>14</v>
      </c>
      <c r="D3" s="3">
        <v>9350</v>
      </c>
      <c r="E3" s="9">
        <v>111</v>
      </c>
      <c r="F3" s="3">
        <v>1402054</v>
      </c>
      <c r="G3" s="4">
        <v>49617</v>
      </c>
      <c r="H3" s="5">
        <v>1.4999999999999999E-2</v>
      </c>
      <c r="I3" s="5">
        <v>7.0000000000000001E-3</v>
      </c>
      <c r="J3" s="6">
        <v>0.29799999999999999</v>
      </c>
      <c r="K3" s="6">
        <v>7.1999999999999995E-2</v>
      </c>
      <c r="L3" s="5">
        <v>0.50600000000000001</v>
      </c>
      <c r="M3" s="7">
        <v>38.9</v>
      </c>
      <c r="N3" s="7">
        <v>110.46</v>
      </c>
      <c r="O3" s="7">
        <v>317.89999999999998</v>
      </c>
      <c r="P3" s="5">
        <v>2.3439999999999999E-2</v>
      </c>
      <c r="R3" s="1"/>
    </row>
    <row r="4" spans="1:18" x14ac:dyDescent="0.2">
      <c r="A4" s="3">
        <v>3</v>
      </c>
      <c r="B4" s="2" t="s">
        <v>15</v>
      </c>
      <c r="C4" s="2" t="s">
        <v>28</v>
      </c>
      <c r="D4" s="3">
        <v>77347</v>
      </c>
      <c r="E4" s="9">
        <v>178</v>
      </c>
      <c r="F4" s="3">
        <v>1978379</v>
      </c>
      <c r="G4" s="4">
        <v>41403</v>
      </c>
      <c r="H4" s="5">
        <v>0.01</v>
      </c>
      <c r="I4" s="5">
        <v>0</v>
      </c>
      <c r="J4" s="6">
        <v>0.35099999999999998</v>
      </c>
      <c r="K4" s="6">
        <v>0.112</v>
      </c>
      <c r="L4" s="5">
        <v>0.46200000000000002</v>
      </c>
      <c r="M4" s="7">
        <v>37</v>
      </c>
      <c r="N4" s="7">
        <v>95.21</v>
      </c>
      <c r="O4" s="7">
        <v>270</v>
      </c>
      <c r="P4" s="5">
        <v>4.1520000000000001E-2</v>
      </c>
      <c r="R4" s="1"/>
    </row>
    <row r="5" spans="1:18" x14ac:dyDescent="0.2">
      <c r="A5" s="3">
        <v>4</v>
      </c>
      <c r="B5" s="2" t="s">
        <v>16</v>
      </c>
      <c r="C5" s="2" t="s">
        <v>29</v>
      </c>
      <c r="D5" s="3">
        <v>86943</v>
      </c>
      <c r="E5" s="9">
        <v>472</v>
      </c>
      <c r="F5" s="3">
        <v>5737915</v>
      </c>
      <c r="G5" s="4">
        <v>47393</v>
      </c>
      <c r="H5" s="5">
        <v>0.01</v>
      </c>
      <c r="I5" s="5">
        <v>-1E-3</v>
      </c>
      <c r="J5" s="6">
        <v>0.33900000000000002</v>
      </c>
      <c r="K5" s="6">
        <v>9.6000000000000002E-2</v>
      </c>
      <c r="L5" s="5">
        <v>0.51</v>
      </c>
      <c r="M5" s="7">
        <v>38.299999999999997</v>
      </c>
      <c r="N5" s="7">
        <v>93.48</v>
      </c>
      <c r="O5" s="7">
        <v>304.2</v>
      </c>
      <c r="P5" s="5">
        <v>4.5269999999999998E-2</v>
      </c>
      <c r="R5" s="1"/>
    </row>
    <row r="6" spans="1:18" x14ac:dyDescent="0.2">
      <c r="A6" s="3">
        <v>5</v>
      </c>
      <c r="B6" s="2" t="s">
        <v>17</v>
      </c>
      <c r="C6" s="2" t="s">
        <v>30</v>
      </c>
      <c r="D6" s="3">
        <v>83569</v>
      </c>
      <c r="E6" s="9">
        <v>119</v>
      </c>
      <c r="F6" s="3">
        <v>1964726</v>
      </c>
      <c r="G6" s="4">
        <v>37395</v>
      </c>
      <c r="H6" s="5">
        <v>3.1E-2</v>
      </c>
      <c r="I6" s="5">
        <v>1.7999999999999999E-2</v>
      </c>
      <c r="J6" s="6">
        <v>0.33200000000000002</v>
      </c>
      <c r="K6" s="6">
        <v>0.107</v>
      </c>
      <c r="L6" s="5">
        <v>0.42099999999999999</v>
      </c>
      <c r="M6" s="7">
        <v>44.3</v>
      </c>
      <c r="N6" s="7">
        <v>97.38</v>
      </c>
      <c r="O6" s="7">
        <v>230.1</v>
      </c>
      <c r="P6" s="5">
        <v>2.4660000000000001E-2</v>
      </c>
      <c r="R6" s="1"/>
    </row>
    <row r="7" spans="1:18" x14ac:dyDescent="0.2">
      <c r="A7" s="3">
        <v>6</v>
      </c>
      <c r="B7" s="2" t="s">
        <v>18</v>
      </c>
      <c r="C7" s="2" t="s">
        <v>31</v>
      </c>
      <c r="D7" s="3">
        <v>56273</v>
      </c>
      <c r="E7" s="9">
        <v>249</v>
      </c>
      <c r="F7" s="3">
        <v>3207004</v>
      </c>
      <c r="G7" s="4">
        <v>41625</v>
      </c>
      <c r="H7" s="5">
        <v>1.6E-2</v>
      </c>
      <c r="I7" s="5">
        <v>1E-3</v>
      </c>
      <c r="J7" s="6">
        <v>0.373</v>
      </c>
      <c r="K7" s="6">
        <v>0.126</v>
      </c>
      <c r="L7" s="5">
        <v>0.443</v>
      </c>
      <c r="M7" s="7">
        <v>37.6</v>
      </c>
      <c r="N7" s="7">
        <v>89.06</v>
      </c>
      <c r="O7" s="7">
        <v>193.9</v>
      </c>
      <c r="P7" s="5">
        <v>2.4660000000000001E-2</v>
      </c>
      <c r="R7" s="1"/>
    </row>
    <row r="8" spans="1:18" x14ac:dyDescent="0.2">
      <c r="A8" s="3">
        <v>7</v>
      </c>
      <c r="B8" s="2" t="s">
        <v>19</v>
      </c>
      <c r="C8" s="2" t="s">
        <v>32</v>
      </c>
      <c r="D8" s="3">
        <v>9615</v>
      </c>
      <c r="E8" s="9">
        <v>43</v>
      </c>
      <c r="F8" s="3">
        <v>647464</v>
      </c>
      <c r="G8" s="4">
        <v>42147</v>
      </c>
      <c r="H8" s="5">
        <v>2.3E-2</v>
      </c>
      <c r="I8" s="5">
        <v>5.0000000000000001E-3</v>
      </c>
      <c r="J8" s="6">
        <v>0.26400000000000001</v>
      </c>
      <c r="K8" s="6">
        <v>0.104</v>
      </c>
      <c r="L8" s="5">
        <v>0.53</v>
      </c>
      <c r="M8" s="7">
        <v>38.5</v>
      </c>
      <c r="N8" s="7">
        <v>112.39</v>
      </c>
      <c r="O8" s="7">
        <v>408.2</v>
      </c>
      <c r="P8" s="5">
        <v>2.6069999999999999E-2</v>
      </c>
      <c r="R8" s="1"/>
    </row>
    <row r="9" spans="1:18" x14ac:dyDescent="0.2">
      <c r="A9" s="3">
        <v>8</v>
      </c>
      <c r="B9" s="2" t="s">
        <v>20</v>
      </c>
      <c r="C9" s="2" t="s">
        <v>33</v>
      </c>
      <c r="D9" s="3">
        <v>71301</v>
      </c>
      <c r="E9" s="9">
        <v>802</v>
      </c>
      <c r="F9" s="3">
        <v>7812880</v>
      </c>
      <c r="G9" s="4">
        <v>51640</v>
      </c>
      <c r="H9" s="5">
        <v>2.7E-2</v>
      </c>
      <c r="I9" s="5">
        <v>2E-3</v>
      </c>
      <c r="J9" s="6">
        <v>0.317</v>
      </c>
      <c r="K9" s="6">
        <v>0.1</v>
      </c>
      <c r="L9" s="5">
        <v>0.495</v>
      </c>
      <c r="M9" s="7" t="s">
        <v>36</v>
      </c>
      <c r="N9" s="7">
        <v>118.07</v>
      </c>
      <c r="O9" s="7">
        <v>451</v>
      </c>
      <c r="P9" s="5">
        <v>5.7590000000000002E-2</v>
      </c>
      <c r="R9" s="1"/>
    </row>
    <row r="10" spans="1:18" x14ac:dyDescent="0.2">
      <c r="A10" s="3">
        <v>9</v>
      </c>
      <c r="B10" s="2" t="s">
        <v>21</v>
      </c>
      <c r="C10" s="2" t="s">
        <v>34</v>
      </c>
      <c r="D10" s="3">
        <v>71404</v>
      </c>
      <c r="E10" s="9">
        <v>1580</v>
      </c>
      <c r="F10" s="3">
        <v>22610726</v>
      </c>
      <c r="G10" s="4">
        <v>39920</v>
      </c>
      <c r="H10" s="5">
        <v>4.8000000000000001E-2</v>
      </c>
      <c r="I10" s="5">
        <v>1.7000000000000001E-2</v>
      </c>
      <c r="J10" s="6">
        <v>0.315</v>
      </c>
      <c r="K10" s="6">
        <v>0.127</v>
      </c>
      <c r="L10" s="5">
        <v>0.44500000000000001</v>
      </c>
      <c r="M10" s="7">
        <v>38.9</v>
      </c>
      <c r="N10" s="7">
        <v>109.35</v>
      </c>
      <c r="O10" s="7">
        <v>322.3</v>
      </c>
      <c r="P10" s="5">
        <v>3.9219999999999998E-2</v>
      </c>
      <c r="R10" s="1"/>
    </row>
    <row r="11" spans="1:18" x14ac:dyDescent="0.2">
      <c r="A11" s="3">
        <v>10</v>
      </c>
      <c r="B11" s="2" t="s">
        <v>22</v>
      </c>
      <c r="C11" s="2" t="s">
        <v>35</v>
      </c>
      <c r="D11" s="3">
        <v>10554</v>
      </c>
      <c r="E11" s="9">
        <v>734</v>
      </c>
      <c r="F11" s="3">
        <v>7001399</v>
      </c>
      <c r="G11" s="4">
        <v>52528</v>
      </c>
      <c r="H11" s="5">
        <v>2.1999999999999999E-2</v>
      </c>
      <c r="I11" s="5">
        <v>-1E-3</v>
      </c>
      <c r="J11" s="6">
        <v>0.26800000000000002</v>
      </c>
      <c r="K11" s="6">
        <v>0.104</v>
      </c>
      <c r="L11" s="5">
        <v>0.54</v>
      </c>
      <c r="M11" s="7">
        <v>41.4</v>
      </c>
      <c r="N11" s="7">
        <v>126.13</v>
      </c>
      <c r="O11" s="7">
        <v>401.2</v>
      </c>
      <c r="P11" s="5">
        <v>2.4150000000000001E-2</v>
      </c>
      <c r="R11" s="1"/>
    </row>
    <row r="12" spans="1:18" x14ac:dyDescent="0.2">
      <c r="A12" s="3">
        <v>11</v>
      </c>
      <c r="B12" s="2" t="s">
        <v>23</v>
      </c>
      <c r="C12" s="2" t="s">
        <v>39</v>
      </c>
      <c r="D12" s="3">
        <v>77116</v>
      </c>
      <c r="E12" s="9">
        <v>72</v>
      </c>
      <c r="F12" s="3">
        <v>919318</v>
      </c>
      <c r="G12" s="4">
        <v>40978</v>
      </c>
      <c r="H12" s="5">
        <v>1.9E-2</v>
      </c>
      <c r="I12" s="5">
        <v>8.9999999999999993E-3</v>
      </c>
      <c r="J12" s="6">
        <v>0.37</v>
      </c>
      <c r="K12" s="6">
        <v>0.125</v>
      </c>
      <c r="L12" s="5">
        <v>0.44800000000000001</v>
      </c>
      <c r="M12" s="7">
        <v>39.6</v>
      </c>
      <c r="N12" s="7">
        <v>93.14</v>
      </c>
      <c r="O12" s="7">
        <v>191.7</v>
      </c>
      <c r="P12" s="5">
        <v>4.4150000000000002E-2</v>
      </c>
      <c r="R12" s="1"/>
    </row>
    <row r="13" spans="1:18" x14ac:dyDescent="0.2">
      <c r="A13" s="3">
        <v>12</v>
      </c>
      <c r="B13" s="2" t="s">
        <v>24</v>
      </c>
      <c r="C13" s="2" t="s">
        <v>40</v>
      </c>
      <c r="D13" s="3">
        <v>97810</v>
      </c>
      <c r="E13" s="9">
        <v>50</v>
      </c>
      <c r="F13" s="3">
        <v>584057</v>
      </c>
      <c r="G13" s="4">
        <v>39954</v>
      </c>
      <c r="H13" s="5">
        <v>1.2E-2</v>
      </c>
      <c r="I13" s="5">
        <v>4.0000000000000001E-3</v>
      </c>
      <c r="J13" s="6">
        <v>0.34399999999999997</v>
      </c>
      <c r="K13" s="6">
        <v>0.11799999999999999</v>
      </c>
      <c r="L13" s="5">
        <v>0.41599999999999998</v>
      </c>
      <c r="M13" s="7" t="s">
        <v>38</v>
      </c>
      <c r="N13" s="7">
        <v>92.44</v>
      </c>
      <c r="O13" s="7">
        <v>203.2</v>
      </c>
      <c r="P13" s="5">
        <v>3.4549999999999997E-2</v>
      </c>
      <c r="R13" s="1"/>
    </row>
    <row r="14" spans="1:18" x14ac:dyDescent="0.2">
      <c r="A14" s="3">
        <v>13</v>
      </c>
      <c r="B14" s="2" t="s">
        <v>25</v>
      </c>
      <c r="C14" s="2" t="s">
        <v>41</v>
      </c>
      <c r="D14" s="3">
        <v>42775</v>
      </c>
      <c r="E14" s="9">
        <v>707</v>
      </c>
      <c r="F14" s="3">
        <v>8715698</v>
      </c>
      <c r="G14" s="4">
        <v>48178</v>
      </c>
      <c r="H14" s="5">
        <v>0.03</v>
      </c>
      <c r="I14" s="5">
        <v>2E-3</v>
      </c>
      <c r="J14" s="6">
        <v>0.34799999999999998</v>
      </c>
      <c r="K14" s="6">
        <v>0.106</v>
      </c>
      <c r="L14" s="5">
        <v>0.498</v>
      </c>
      <c r="M14" s="7">
        <v>45</v>
      </c>
      <c r="N14" s="7">
        <v>102.85</v>
      </c>
      <c r="O14" s="7">
        <v>505.6</v>
      </c>
      <c r="P14" s="5">
        <v>3.1210000000000002E-2</v>
      </c>
      <c r="R14" s="1"/>
    </row>
    <row r="15" spans="1:18" x14ac:dyDescent="0.2">
      <c r="A15" s="3">
        <v>14</v>
      </c>
      <c r="B15" s="2" t="s">
        <v>26</v>
      </c>
      <c r="C15" s="2" t="s">
        <v>42</v>
      </c>
      <c r="D15" s="3">
        <v>8719</v>
      </c>
      <c r="E15" s="9">
        <v>799</v>
      </c>
      <c r="F15" s="3">
        <v>9290841</v>
      </c>
      <c r="G15" s="4">
        <v>51884</v>
      </c>
      <c r="H15" s="5">
        <v>3.2000000000000001E-2</v>
      </c>
      <c r="I15" s="5">
        <v>-1E-3</v>
      </c>
      <c r="J15" s="6">
        <v>0.28799999999999998</v>
      </c>
      <c r="K15" s="6">
        <v>9.7000000000000003E-2</v>
      </c>
      <c r="L15" s="5">
        <v>0.502</v>
      </c>
      <c r="M15" s="7">
        <v>44.1</v>
      </c>
      <c r="N15" s="7">
        <v>111.04</v>
      </c>
      <c r="O15" s="7">
        <v>427.8</v>
      </c>
      <c r="P15" s="5">
        <v>2.512E-2</v>
      </c>
      <c r="R15" s="1"/>
    </row>
    <row r="16" spans="1:18" x14ac:dyDescent="0.2">
      <c r="A16" s="3">
        <v>15</v>
      </c>
      <c r="B16" s="2" t="s">
        <v>27</v>
      </c>
      <c r="C16" s="2" t="s">
        <v>43</v>
      </c>
      <c r="D16" s="3">
        <v>70699</v>
      </c>
      <c r="E16" s="9">
        <v>74</v>
      </c>
      <c r="F16" s="3">
        <v>783926</v>
      </c>
      <c r="G16" s="4">
        <v>42807</v>
      </c>
      <c r="H16" s="5">
        <v>1.7000000000000001E-2</v>
      </c>
      <c r="I16" s="5">
        <v>-1E-3</v>
      </c>
      <c r="J16" s="6">
        <v>0.35599999999999998</v>
      </c>
      <c r="K16" s="6">
        <v>0.115</v>
      </c>
      <c r="L16" s="5">
        <v>0.46</v>
      </c>
      <c r="M16" s="7">
        <v>37</v>
      </c>
      <c r="N16" s="7">
        <v>92.49</v>
      </c>
      <c r="O16" s="7">
        <v>244.3</v>
      </c>
      <c r="P16" s="5">
        <v>4.5769999999999998E-2</v>
      </c>
      <c r="R16" s="1"/>
    </row>
    <row r="19" spans="15:16" x14ac:dyDescent="0.2">
      <c r="O19" s="7"/>
      <c r="P19" s="1"/>
    </row>
    <row r="20" spans="15:16" x14ac:dyDescent="0.2">
      <c r="O20" s="7"/>
      <c r="P20" s="1"/>
    </row>
    <row r="21" spans="15:16" x14ac:dyDescent="0.2">
      <c r="O21" s="7"/>
      <c r="P21" s="1"/>
    </row>
    <row r="22" spans="15:16" x14ac:dyDescent="0.2">
      <c r="O22" s="7"/>
      <c r="P22" s="1"/>
    </row>
    <row r="23" spans="15:16" x14ac:dyDescent="0.2">
      <c r="O23" s="7"/>
      <c r="P23" s="1"/>
    </row>
    <row r="24" spans="15:16" x14ac:dyDescent="0.2">
      <c r="O24" s="7"/>
      <c r="P24" s="1"/>
    </row>
    <row r="25" spans="15:16" x14ac:dyDescent="0.2">
      <c r="O25" s="7"/>
      <c r="P25" s="1"/>
    </row>
    <row r="26" spans="15:16" x14ac:dyDescent="0.2">
      <c r="O26" s="7"/>
      <c r="P26" s="1"/>
    </row>
    <row r="27" spans="15:16" x14ac:dyDescent="0.2">
      <c r="O27" s="7"/>
      <c r="P27" s="1"/>
    </row>
    <row r="28" spans="15:16" x14ac:dyDescent="0.2">
      <c r="O28" s="7"/>
      <c r="P28" s="1"/>
    </row>
    <row r="29" spans="15:16" x14ac:dyDescent="0.2">
      <c r="O29" s="7"/>
      <c r="P29" s="1"/>
    </row>
    <row r="30" spans="15:16" x14ac:dyDescent="0.2">
      <c r="O30" s="7"/>
      <c r="P30" s="1"/>
    </row>
    <row r="31" spans="15:16" x14ac:dyDescent="0.2">
      <c r="O31" s="7"/>
      <c r="P31" s="1"/>
    </row>
    <row r="32" spans="15:16" x14ac:dyDescent="0.2">
      <c r="O32" s="7"/>
      <c r="P32" s="1"/>
    </row>
    <row r="33" spans="15:16" x14ac:dyDescent="0.2">
      <c r="O33" s="7"/>
      <c r="P33" s="1"/>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92DFA-F02C-9545-9934-8ED5FA6EA481}">
  <dimension ref="A2:J20"/>
  <sheetViews>
    <sheetView showGridLines="0" workbookViewId="0"/>
  </sheetViews>
  <sheetFormatPr baseColWidth="10" defaultColWidth="17" defaultRowHeight="15" x14ac:dyDescent="0.2"/>
  <cols>
    <col min="1" max="1" width="12.6640625" bestFit="1" customWidth="1"/>
    <col min="2" max="2" width="15.1640625" bestFit="1" customWidth="1"/>
    <col min="3" max="3" width="13" bestFit="1" customWidth="1"/>
    <col min="4" max="4" width="18.1640625" bestFit="1" customWidth="1"/>
    <col min="5" max="5" width="18.5" bestFit="1" customWidth="1"/>
    <col min="6" max="6" width="14.6640625" bestFit="1" customWidth="1"/>
    <col min="7" max="7" width="18.6640625" bestFit="1" customWidth="1"/>
    <col min="10" max="10" width="40.33203125" bestFit="1" customWidth="1"/>
  </cols>
  <sheetData>
    <row r="2" spans="1:10" ht="16" thickBot="1" x14ac:dyDescent="0.25">
      <c r="A2" s="10" t="s">
        <v>0</v>
      </c>
      <c r="B2" s="10" t="s">
        <v>12</v>
      </c>
      <c r="C2" s="14" t="s">
        <v>11</v>
      </c>
      <c r="D2" s="10" t="s">
        <v>8</v>
      </c>
      <c r="E2" s="10" t="s">
        <v>9</v>
      </c>
      <c r="F2" s="10" t="s">
        <v>2</v>
      </c>
      <c r="G2" s="10" t="s">
        <v>47</v>
      </c>
    </row>
    <row r="3" spans="1:10" ht="16" thickTop="1" x14ac:dyDescent="0.2">
      <c r="A3" s="11" t="s">
        <v>1</v>
      </c>
      <c r="B3" s="11" t="s">
        <v>13</v>
      </c>
      <c r="C3" s="15">
        <v>1</v>
      </c>
      <c r="D3" s="18">
        <v>84898</v>
      </c>
      <c r="E3" s="21">
        <v>273</v>
      </c>
      <c r="F3" s="18">
        <v>3417734</v>
      </c>
      <c r="G3" s="24">
        <v>0.47899999999999998</v>
      </c>
    </row>
    <row r="4" spans="1:10" x14ac:dyDescent="0.2">
      <c r="A4" s="12" t="s">
        <v>10</v>
      </c>
      <c r="B4" s="12" t="s">
        <v>14</v>
      </c>
      <c r="C4" s="16">
        <v>2</v>
      </c>
      <c r="D4" s="19">
        <v>9350</v>
      </c>
      <c r="E4" s="22">
        <v>111</v>
      </c>
      <c r="F4" s="19">
        <v>1402054</v>
      </c>
      <c r="G4" s="25">
        <v>0.50600000000000001</v>
      </c>
    </row>
    <row r="5" spans="1:10" x14ac:dyDescent="0.2">
      <c r="A5" s="11" t="s">
        <v>15</v>
      </c>
      <c r="B5" s="11" t="s">
        <v>28</v>
      </c>
      <c r="C5" s="15">
        <v>3</v>
      </c>
      <c r="D5" s="18">
        <v>77347</v>
      </c>
      <c r="E5" s="21">
        <v>178</v>
      </c>
      <c r="F5" s="18">
        <v>1978379</v>
      </c>
      <c r="G5" s="24">
        <v>0.46200000000000002</v>
      </c>
    </row>
    <row r="6" spans="1:10" x14ac:dyDescent="0.2">
      <c r="A6" s="12" t="s">
        <v>16</v>
      </c>
      <c r="B6" s="12" t="s">
        <v>29</v>
      </c>
      <c r="C6" s="16">
        <v>4</v>
      </c>
      <c r="D6" s="19">
        <v>86943</v>
      </c>
      <c r="E6" s="22">
        <v>472</v>
      </c>
      <c r="F6" s="19">
        <v>5737915</v>
      </c>
      <c r="G6" s="25">
        <v>0.51</v>
      </c>
    </row>
    <row r="7" spans="1:10" x14ac:dyDescent="0.2">
      <c r="A7" s="11" t="s">
        <v>17</v>
      </c>
      <c r="B7" s="11" t="s">
        <v>30</v>
      </c>
      <c r="C7" s="15">
        <v>5</v>
      </c>
      <c r="D7" s="18">
        <v>83569</v>
      </c>
      <c r="E7" s="21">
        <v>119</v>
      </c>
      <c r="F7" s="18">
        <v>1964726</v>
      </c>
      <c r="G7" s="24">
        <v>0.42099999999999999</v>
      </c>
    </row>
    <row r="8" spans="1:10" x14ac:dyDescent="0.2">
      <c r="A8" s="12" t="s">
        <v>18</v>
      </c>
      <c r="B8" s="12" t="s">
        <v>31</v>
      </c>
      <c r="C8" s="16">
        <v>6</v>
      </c>
      <c r="D8" s="19">
        <v>56273</v>
      </c>
      <c r="E8" s="22">
        <v>249</v>
      </c>
      <c r="F8" s="19">
        <v>3207004</v>
      </c>
      <c r="G8" s="25">
        <v>0.443</v>
      </c>
    </row>
    <row r="9" spans="1:10" x14ac:dyDescent="0.2">
      <c r="A9" s="11" t="s">
        <v>19</v>
      </c>
      <c r="B9" s="11" t="s">
        <v>32</v>
      </c>
      <c r="C9" s="15">
        <v>7</v>
      </c>
      <c r="D9" s="18">
        <v>9615</v>
      </c>
      <c r="E9" s="21">
        <v>43</v>
      </c>
      <c r="F9" s="18">
        <v>647464</v>
      </c>
      <c r="G9" s="24">
        <v>0.53</v>
      </c>
    </row>
    <row r="10" spans="1:10" x14ac:dyDescent="0.2">
      <c r="A10" s="12" t="s">
        <v>20</v>
      </c>
      <c r="B10" s="12" t="s">
        <v>33</v>
      </c>
      <c r="C10" s="16">
        <v>8</v>
      </c>
      <c r="D10" s="19">
        <v>71301</v>
      </c>
      <c r="E10" s="22">
        <v>802</v>
      </c>
      <c r="F10" s="19">
        <v>7812880</v>
      </c>
      <c r="G10" s="25">
        <v>0.495</v>
      </c>
    </row>
    <row r="11" spans="1:10" x14ac:dyDescent="0.2">
      <c r="A11" s="11" t="s">
        <v>21</v>
      </c>
      <c r="B11" s="11" t="s">
        <v>34</v>
      </c>
      <c r="C11" s="15">
        <v>9</v>
      </c>
      <c r="D11" s="18">
        <v>71404</v>
      </c>
      <c r="E11" s="21">
        <v>1580</v>
      </c>
      <c r="F11" s="18">
        <v>22610726</v>
      </c>
      <c r="G11" s="24">
        <v>0.44500000000000001</v>
      </c>
    </row>
    <row r="12" spans="1:10" x14ac:dyDescent="0.2">
      <c r="A12" s="12" t="s">
        <v>22</v>
      </c>
      <c r="B12" s="12" t="s">
        <v>35</v>
      </c>
      <c r="C12" s="16">
        <v>10</v>
      </c>
      <c r="D12" s="19">
        <v>10554</v>
      </c>
      <c r="E12" s="22">
        <v>734</v>
      </c>
      <c r="F12" s="19">
        <v>7001399</v>
      </c>
      <c r="G12" s="25">
        <v>0.54</v>
      </c>
    </row>
    <row r="13" spans="1:10" x14ac:dyDescent="0.2">
      <c r="A13" s="11" t="s">
        <v>23</v>
      </c>
      <c r="B13" s="11" t="s">
        <v>39</v>
      </c>
      <c r="C13" s="15">
        <v>11</v>
      </c>
      <c r="D13" s="18">
        <v>77116</v>
      </c>
      <c r="E13" s="21">
        <v>72</v>
      </c>
      <c r="F13" s="18">
        <v>919318</v>
      </c>
      <c r="G13" s="24">
        <v>0.44800000000000001</v>
      </c>
      <c r="J13" s="37"/>
    </row>
    <row r="14" spans="1:10" x14ac:dyDescent="0.2">
      <c r="A14" s="12" t="s">
        <v>24</v>
      </c>
      <c r="B14" s="12" t="s">
        <v>40</v>
      </c>
      <c r="C14" s="16">
        <v>12</v>
      </c>
      <c r="D14" s="19">
        <v>97810</v>
      </c>
      <c r="E14" s="22">
        <v>50</v>
      </c>
      <c r="F14" s="19">
        <v>584057</v>
      </c>
      <c r="G14" s="25">
        <v>0.41599999999999998</v>
      </c>
    </row>
    <row r="15" spans="1:10" x14ac:dyDescent="0.2">
      <c r="A15" s="11" t="s">
        <v>25</v>
      </c>
      <c r="B15" s="11" t="s">
        <v>41</v>
      </c>
      <c r="C15" s="15">
        <v>13</v>
      </c>
      <c r="D15" s="18">
        <v>42775</v>
      </c>
      <c r="E15" s="21">
        <v>707</v>
      </c>
      <c r="F15" s="18">
        <v>8715698</v>
      </c>
      <c r="G15" s="24">
        <v>0.498</v>
      </c>
    </row>
    <row r="16" spans="1:10" x14ac:dyDescent="0.2">
      <c r="A16" s="12" t="s">
        <v>26</v>
      </c>
      <c r="B16" s="12" t="s">
        <v>42</v>
      </c>
      <c r="C16" s="16">
        <v>14</v>
      </c>
      <c r="D16" s="19">
        <v>8719</v>
      </c>
      <c r="E16" s="22">
        <v>799</v>
      </c>
      <c r="F16" s="19">
        <v>9290841</v>
      </c>
      <c r="G16" s="25">
        <v>0.502</v>
      </c>
    </row>
    <row r="17" spans="1:7" x14ac:dyDescent="0.2">
      <c r="A17" s="13" t="s">
        <v>27</v>
      </c>
      <c r="B17" s="13" t="s">
        <v>43</v>
      </c>
      <c r="C17" s="17">
        <v>15</v>
      </c>
      <c r="D17" s="20">
        <v>70699</v>
      </c>
      <c r="E17" s="23">
        <v>74</v>
      </c>
      <c r="F17" s="20">
        <v>783926</v>
      </c>
      <c r="G17" s="26">
        <v>0.46</v>
      </c>
    </row>
    <row r="19" spans="1:7" x14ac:dyDescent="0.2">
      <c r="A19" t="s">
        <v>62</v>
      </c>
    </row>
    <row r="20" spans="1:7" x14ac:dyDescent="0.2">
      <c r="A20" s="37" t="s">
        <v>63</v>
      </c>
    </row>
  </sheetData>
  <autoFilter ref="A2:G2" xr:uid="{C5992DFA-F02C-9545-9934-8ED5FA6EA481}"/>
  <hyperlinks>
    <hyperlink ref="A20" r:id="rId1" xr:uid="{77AAC1CC-B2D5-3F4D-A1CF-61E538F1807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F36B6-A0BF-1A4E-A215-BD227429550D}">
  <dimension ref="A2:F20"/>
  <sheetViews>
    <sheetView showGridLines="0" workbookViewId="0"/>
  </sheetViews>
  <sheetFormatPr baseColWidth="10" defaultColWidth="10.6640625" defaultRowHeight="15" x14ac:dyDescent="0.2"/>
  <cols>
    <col min="1" max="1" width="12.6640625" bestFit="1" customWidth="1"/>
    <col min="2" max="2" width="18" bestFit="1" customWidth="1"/>
    <col min="3" max="3" width="18.6640625" bestFit="1" customWidth="1"/>
    <col min="4" max="4" width="20.5" bestFit="1" customWidth="1"/>
    <col min="5" max="6" width="16" bestFit="1" customWidth="1"/>
  </cols>
  <sheetData>
    <row r="2" spans="1:6" ht="16" thickBot="1" x14ac:dyDescent="0.25">
      <c r="A2" s="10" t="s">
        <v>0</v>
      </c>
      <c r="B2" s="10" t="s">
        <v>3</v>
      </c>
      <c r="C2" s="10" t="s">
        <v>4</v>
      </c>
      <c r="D2" s="10" t="s">
        <v>37</v>
      </c>
      <c r="E2" s="10" t="s">
        <v>5</v>
      </c>
      <c r="F2" s="10" t="s">
        <v>6</v>
      </c>
    </row>
    <row r="3" spans="1:6" ht="16" thickTop="1" x14ac:dyDescent="0.2">
      <c r="A3" s="11" t="s">
        <v>1</v>
      </c>
      <c r="B3" s="27">
        <v>40959</v>
      </c>
      <c r="C3" s="24">
        <v>3.6999999999999998E-2</v>
      </c>
      <c r="D3" s="24">
        <v>6.0000000000000001E-3</v>
      </c>
      <c r="E3" s="28">
        <v>0.313</v>
      </c>
      <c r="F3" s="28">
        <v>8.2000000000000003E-2</v>
      </c>
    </row>
    <row r="4" spans="1:6" x14ac:dyDescent="0.2">
      <c r="A4" s="12" t="s">
        <v>10</v>
      </c>
      <c r="B4" s="29">
        <v>49617</v>
      </c>
      <c r="C4" s="25">
        <v>1.4999999999999999E-2</v>
      </c>
      <c r="D4" s="25">
        <v>7.0000000000000001E-3</v>
      </c>
      <c r="E4" s="30">
        <v>0.29799999999999999</v>
      </c>
      <c r="F4" s="30">
        <v>7.1999999999999995E-2</v>
      </c>
    </row>
    <row r="5" spans="1:6" x14ac:dyDescent="0.2">
      <c r="A5" s="11" t="s">
        <v>15</v>
      </c>
      <c r="B5" s="27">
        <v>41403</v>
      </c>
      <c r="C5" s="24">
        <v>0.01</v>
      </c>
      <c r="D5" s="24">
        <v>0</v>
      </c>
      <c r="E5" s="28">
        <v>0.35099999999999998</v>
      </c>
      <c r="F5" s="28">
        <v>0.112</v>
      </c>
    </row>
    <row r="6" spans="1:6" x14ac:dyDescent="0.2">
      <c r="A6" s="12" t="s">
        <v>16</v>
      </c>
      <c r="B6" s="29">
        <v>47393</v>
      </c>
      <c r="C6" s="25">
        <v>0.01</v>
      </c>
      <c r="D6" s="25">
        <v>-1E-3</v>
      </c>
      <c r="E6" s="30">
        <v>0.33900000000000002</v>
      </c>
      <c r="F6" s="30">
        <v>9.6000000000000002E-2</v>
      </c>
    </row>
    <row r="7" spans="1:6" x14ac:dyDescent="0.2">
      <c r="A7" s="11" t="s">
        <v>17</v>
      </c>
      <c r="B7" s="27">
        <v>37395</v>
      </c>
      <c r="C7" s="24">
        <v>3.1E-2</v>
      </c>
      <c r="D7" s="24">
        <v>1.7999999999999999E-2</v>
      </c>
      <c r="E7" s="28">
        <v>0.33200000000000002</v>
      </c>
      <c r="F7" s="28">
        <v>0.107</v>
      </c>
    </row>
    <row r="8" spans="1:6" x14ac:dyDescent="0.2">
      <c r="A8" s="12" t="s">
        <v>18</v>
      </c>
      <c r="B8" s="29">
        <v>41625</v>
      </c>
      <c r="C8" s="25">
        <v>1.6E-2</v>
      </c>
      <c r="D8" s="25">
        <v>1E-3</v>
      </c>
      <c r="E8" s="30">
        <v>0.373</v>
      </c>
      <c r="F8" s="30">
        <v>0.126</v>
      </c>
    </row>
    <row r="9" spans="1:6" x14ac:dyDescent="0.2">
      <c r="A9" s="11" t="s">
        <v>19</v>
      </c>
      <c r="B9" s="27">
        <v>42147</v>
      </c>
      <c r="C9" s="24">
        <v>2.3E-2</v>
      </c>
      <c r="D9" s="24">
        <v>5.0000000000000001E-3</v>
      </c>
      <c r="E9" s="28">
        <v>0.26400000000000001</v>
      </c>
      <c r="F9" s="28">
        <v>0.104</v>
      </c>
    </row>
    <row r="10" spans="1:6" x14ac:dyDescent="0.2">
      <c r="A10" s="12" t="s">
        <v>20</v>
      </c>
      <c r="B10" s="29">
        <v>51640</v>
      </c>
      <c r="C10" s="25">
        <v>2.7E-2</v>
      </c>
      <c r="D10" s="25">
        <v>2E-3</v>
      </c>
      <c r="E10" s="30">
        <v>0.317</v>
      </c>
      <c r="F10" s="30">
        <v>0.1</v>
      </c>
    </row>
    <row r="11" spans="1:6" x14ac:dyDescent="0.2">
      <c r="A11" s="11" t="s">
        <v>21</v>
      </c>
      <c r="B11" s="27">
        <v>39920</v>
      </c>
      <c r="C11" s="24">
        <v>4.8000000000000001E-2</v>
      </c>
      <c r="D11" s="24">
        <v>1.7000000000000001E-2</v>
      </c>
      <c r="E11" s="28">
        <v>0.315</v>
      </c>
      <c r="F11" s="28">
        <v>0.127</v>
      </c>
    </row>
    <row r="12" spans="1:6" x14ac:dyDescent="0.2">
      <c r="A12" s="12" t="s">
        <v>22</v>
      </c>
      <c r="B12" s="29">
        <v>52528</v>
      </c>
      <c r="C12" s="25">
        <v>2.1999999999999999E-2</v>
      </c>
      <c r="D12" s="25">
        <v>-1E-3</v>
      </c>
      <c r="E12" s="30">
        <v>0.26800000000000002</v>
      </c>
      <c r="F12" s="30">
        <v>0.104</v>
      </c>
    </row>
    <row r="13" spans="1:6" x14ac:dyDescent="0.2">
      <c r="A13" s="11" t="s">
        <v>23</v>
      </c>
      <c r="B13" s="27">
        <v>919318</v>
      </c>
      <c r="C13" s="24">
        <v>1.9E-2</v>
      </c>
      <c r="D13" s="24">
        <v>8.9999999999999993E-3</v>
      </c>
      <c r="E13" s="28">
        <v>0.37</v>
      </c>
      <c r="F13" s="28">
        <v>0.125</v>
      </c>
    </row>
    <row r="14" spans="1:6" x14ac:dyDescent="0.2">
      <c r="A14" s="12" t="s">
        <v>24</v>
      </c>
      <c r="B14" s="29">
        <v>39954</v>
      </c>
      <c r="C14" s="25">
        <v>1.2E-2</v>
      </c>
      <c r="D14" s="25">
        <v>4.0000000000000001E-3</v>
      </c>
      <c r="E14" s="30">
        <v>0.34399999999999997</v>
      </c>
      <c r="F14" s="30">
        <v>0.11799999999999999</v>
      </c>
    </row>
    <row r="15" spans="1:6" x14ac:dyDescent="0.2">
      <c r="A15" s="11" t="s">
        <v>25</v>
      </c>
      <c r="B15" s="27">
        <v>48178</v>
      </c>
      <c r="C15" s="24">
        <v>0.03</v>
      </c>
      <c r="D15" s="24">
        <v>2E-3</v>
      </c>
      <c r="E15" s="28">
        <v>0.34799999999999998</v>
      </c>
      <c r="F15" s="28">
        <v>0.106</v>
      </c>
    </row>
    <row r="16" spans="1:6" x14ac:dyDescent="0.2">
      <c r="A16" s="12" t="s">
        <v>26</v>
      </c>
      <c r="B16" s="29">
        <v>51884</v>
      </c>
      <c r="C16" s="25">
        <v>3.2000000000000001E-2</v>
      </c>
      <c r="D16" s="25">
        <v>-1E-3</v>
      </c>
      <c r="E16" s="30">
        <v>0.28799999999999998</v>
      </c>
      <c r="F16" s="30">
        <v>9.7000000000000003E-2</v>
      </c>
    </row>
    <row r="17" spans="1:6" x14ac:dyDescent="0.2">
      <c r="A17" s="13" t="s">
        <v>27</v>
      </c>
      <c r="B17" s="31">
        <v>42807</v>
      </c>
      <c r="C17" s="26">
        <v>1.7000000000000001E-2</v>
      </c>
      <c r="D17" s="26">
        <v>-1E-3</v>
      </c>
      <c r="E17" s="32">
        <v>0.35599999999999998</v>
      </c>
      <c r="F17" s="32">
        <v>0.115</v>
      </c>
    </row>
    <row r="19" spans="1:6" x14ac:dyDescent="0.2">
      <c r="A19" t="s">
        <v>62</v>
      </c>
    </row>
    <row r="20" spans="1:6" x14ac:dyDescent="0.2">
      <c r="A20" s="37" t="s">
        <v>63</v>
      </c>
    </row>
  </sheetData>
  <autoFilter ref="A2:F2" xr:uid="{28CF36B6-A0BF-1A4E-A215-BD227429550D}"/>
  <hyperlinks>
    <hyperlink ref="A20" r:id="rId1" xr:uid="{E4DEEE99-FFD4-9847-A68E-F7438B6E09F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49A1F-A443-A142-9BFF-612DB716FD45}">
  <dimension ref="A2:B20"/>
  <sheetViews>
    <sheetView showGridLines="0" workbookViewId="0"/>
  </sheetViews>
  <sheetFormatPr baseColWidth="10" defaultColWidth="10.6640625" defaultRowHeight="15" x14ac:dyDescent="0.2"/>
  <cols>
    <col min="1" max="1" width="12.6640625" bestFit="1" customWidth="1"/>
    <col min="2" max="2" width="18.5" customWidth="1"/>
  </cols>
  <sheetData>
    <row r="2" spans="1:2" ht="16" thickBot="1" x14ac:dyDescent="0.25">
      <c r="A2" s="10" t="s">
        <v>0</v>
      </c>
      <c r="B2" s="10" t="s">
        <v>7</v>
      </c>
    </row>
    <row r="3" spans="1:2" ht="16" thickTop="1" x14ac:dyDescent="0.2">
      <c r="A3" s="11" t="s">
        <v>1</v>
      </c>
      <c r="B3" s="33">
        <v>51.2</v>
      </c>
    </row>
    <row r="4" spans="1:2" x14ac:dyDescent="0.2">
      <c r="A4" s="12" t="s">
        <v>10</v>
      </c>
      <c r="B4" s="34">
        <v>38.9</v>
      </c>
    </row>
    <row r="5" spans="1:2" x14ac:dyDescent="0.2">
      <c r="A5" s="11" t="s">
        <v>15</v>
      </c>
      <c r="B5" s="33">
        <v>37</v>
      </c>
    </row>
    <row r="6" spans="1:2" x14ac:dyDescent="0.2">
      <c r="A6" s="12" t="s">
        <v>16</v>
      </c>
      <c r="B6" s="34">
        <v>38.299999999999997</v>
      </c>
    </row>
    <row r="7" spans="1:2" x14ac:dyDescent="0.2">
      <c r="A7" s="11" t="s">
        <v>17</v>
      </c>
      <c r="B7" s="33">
        <v>44.3</v>
      </c>
    </row>
    <row r="8" spans="1:2" x14ac:dyDescent="0.2">
      <c r="A8" s="12" t="s">
        <v>18</v>
      </c>
      <c r="B8" s="34">
        <v>37.6</v>
      </c>
    </row>
    <row r="9" spans="1:2" x14ac:dyDescent="0.2">
      <c r="A9" s="11" t="s">
        <v>19</v>
      </c>
      <c r="B9" s="33">
        <v>38.5</v>
      </c>
    </row>
    <row r="10" spans="1:2" x14ac:dyDescent="0.2">
      <c r="A10" s="12" t="s">
        <v>20</v>
      </c>
      <c r="B10" s="34" t="s">
        <v>36</v>
      </c>
    </row>
    <row r="11" spans="1:2" x14ac:dyDescent="0.2">
      <c r="A11" s="11" t="s">
        <v>21</v>
      </c>
      <c r="B11" s="33">
        <v>38.9</v>
      </c>
    </row>
    <row r="12" spans="1:2" x14ac:dyDescent="0.2">
      <c r="A12" s="12" t="s">
        <v>22</v>
      </c>
      <c r="B12" s="34">
        <v>41.4</v>
      </c>
    </row>
    <row r="13" spans="1:2" x14ac:dyDescent="0.2">
      <c r="A13" s="11" t="s">
        <v>23</v>
      </c>
      <c r="B13" s="33">
        <v>39.6</v>
      </c>
    </row>
    <row r="14" spans="1:2" x14ac:dyDescent="0.2">
      <c r="A14" s="12" t="s">
        <v>24</v>
      </c>
      <c r="B14" s="34" t="s">
        <v>38</v>
      </c>
    </row>
    <row r="15" spans="1:2" x14ac:dyDescent="0.2">
      <c r="A15" s="11" t="s">
        <v>25</v>
      </c>
      <c r="B15" s="33">
        <v>45</v>
      </c>
    </row>
    <row r="16" spans="1:2" x14ac:dyDescent="0.2">
      <c r="A16" s="12" t="s">
        <v>26</v>
      </c>
      <c r="B16" s="34">
        <v>44.1</v>
      </c>
    </row>
    <row r="17" spans="1:2" x14ac:dyDescent="0.2">
      <c r="A17" s="13" t="s">
        <v>27</v>
      </c>
      <c r="B17" s="35">
        <v>37</v>
      </c>
    </row>
    <row r="19" spans="1:2" x14ac:dyDescent="0.2">
      <c r="A19" t="s">
        <v>64</v>
      </c>
    </row>
    <row r="20" spans="1:2" x14ac:dyDescent="0.2">
      <c r="A20" s="37" t="s">
        <v>65</v>
      </c>
    </row>
  </sheetData>
  <autoFilter ref="A2:B2" xr:uid="{12D49A1F-A443-A142-9BFF-612DB716FD45}"/>
  <hyperlinks>
    <hyperlink ref="A20" r:id="rId1" xr:uid="{85FD39B2-FDC5-2040-9207-594C1D59E2DC}"/>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B94CB-E89B-FE44-95D3-32D54A21184A}">
  <dimension ref="A2:B20"/>
  <sheetViews>
    <sheetView showGridLines="0" workbookViewId="0"/>
  </sheetViews>
  <sheetFormatPr baseColWidth="10" defaultColWidth="10.6640625" defaultRowHeight="15" x14ac:dyDescent="0.2"/>
  <cols>
    <col min="1" max="1" width="12.6640625" bestFit="1" customWidth="1"/>
    <col min="2" max="2" width="14.83203125" bestFit="1" customWidth="1"/>
  </cols>
  <sheetData>
    <row r="2" spans="1:2" ht="16" thickBot="1" x14ac:dyDescent="0.25">
      <c r="A2" s="10" t="s">
        <v>0</v>
      </c>
      <c r="B2" s="36" t="s">
        <v>46</v>
      </c>
    </row>
    <row r="3" spans="1:2" ht="16" thickTop="1" x14ac:dyDescent="0.2">
      <c r="A3" s="11" t="s">
        <v>1</v>
      </c>
      <c r="B3" s="38">
        <v>5.1900000000000002E-2</v>
      </c>
    </row>
    <row r="4" spans="1:2" x14ac:dyDescent="0.2">
      <c r="A4" s="12" t="s">
        <v>10</v>
      </c>
      <c r="B4" s="39">
        <v>2.3439999999999999E-2</v>
      </c>
    </row>
    <row r="5" spans="1:2" x14ac:dyDescent="0.2">
      <c r="A5" s="11" t="s">
        <v>15</v>
      </c>
      <c r="B5" s="38">
        <v>4.1520000000000001E-2</v>
      </c>
    </row>
    <row r="6" spans="1:2" x14ac:dyDescent="0.2">
      <c r="A6" s="12" t="s">
        <v>16</v>
      </c>
      <c r="B6" s="39">
        <v>4.5269999999999998E-2</v>
      </c>
    </row>
    <row r="7" spans="1:2" x14ac:dyDescent="0.2">
      <c r="A7" s="11" t="s">
        <v>17</v>
      </c>
      <c r="B7" s="38">
        <v>2.4660000000000001E-2</v>
      </c>
    </row>
    <row r="8" spans="1:2" x14ac:dyDescent="0.2">
      <c r="A8" s="12" t="s">
        <v>18</v>
      </c>
      <c r="B8" s="39">
        <v>2.4660000000000001E-2</v>
      </c>
    </row>
    <row r="9" spans="1:2" x14ac:dyDescent="0.2">
      <c r="A9" s="11" t="s">
        <v>19</v>
      </c>
      <c r="B9" s="38">
        <v>2.6069999999999999E-2</v>
      </c>
    </row>
    <row r="10" spans="1:2" x14ac:dyDescent="0.2">
      <c r="A10" s="12" t="s">
        <v>20</v>
      </c>
      <c r="B10" s="39">
        <v>5.7590000000000002E-2</v>
      </c>
    </row>
    <row r="11" spans="1:2" x14ac:dyDescent="0.2">
      <c r="A11" s="11" t="s">
        <v>21</v>
      </c>
      <c r="B11" s="38">
        <v>3.9219999999999998E-2</v>
      </c>
    </row>
    <row r="12" spans="1:2" x14ac:dyDescent="0.2">
      <c r="A12" s="12" t="s">
        <v>22</v>
      </c>
      <c r="B12" s="39">
        <v>2.4150000000000001E-2</v>
      </c>
    </row>
    <row r="13" spans="1:2" x14ac:dyDescent="0.2">
      <c r="A13" s="11" t="s">
        <v>23</v>
      </c>
      <c r="B13" s="38">
        <v>4.4150000000000002E-2</v>
      </c>
    </row>
    <row r="14" spans="1:2" x14ac:dyDescent="0.2">
      <c r="A14" s="12" t="s">
        <v>24</v>
      </c>
      <c r="B14" s="39">
        <v>3.4549999999999997E-2</v>
      </c>
    </row>
    <row r="15" spans="1:2" x14ac:dyDescent="0.2">
      <c r="A15" s="11" t="s">
        <v>25</v>
      </c>
      <c r="B15" s="38">
        <v>3.1210000000000002E-2</v>
      </c>
    </row>
    <row r="16" spans="1:2" x14ac:dyDescent="0.2">
      <c r="A16" s="12" t="s">
        <v>26</v>
      </c>
      <c r="B16" s="39">
        <v>2.512E-2</v>
      </c>
    </row>
    <row r="17" spans="1:2" x14ac:dyDescent="0.2">
      <c r="A17" s="13" t="s">
        <v>27</v>
      </c>
      <c r="B17" s="40">
        <v>4.5769999999999998E-2</v>
      </c>
    </row>
    <row r="19" spans="1:2" x14ac:dyDescent="0.2">
      <c r="A19" t="s">
        <v>64</v>
      </c>
    </row>
    <row r="20" spans="1:2" x14ac:dyDescent="0.2">
      <c r="A20" s="37" t="s">
        <v>66</v>
      </c>
    </row>
  </sheetData>
  <autoFilter ref="A2:B3" xr:uid="{0AEB94CB-E89B-FE44-95D3-32D54A21184A}"/>
  <hyperlinks>
    <hyperlink ref="A20" r:id="rId1" xr:uid="{DF9C41DA-770C-DE49-B455-27A5F1C4F7B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72A4-6761-F541-BCAA-4454F3F89AA0}">
  <dimension ref="A2:C20"/>
  <sheetViews>
    <sheetView showGridLines="0" workbookViewId="0"/>
  </sheetViews>
  <sheetFormatPr baseColWidth="10" defaultColWidth="10.6640625" defaultRowHeight="15" x14ac:dyDescent="0.2"/>
  <cols>
    <col min="1" max="1" width="12.6640625" bestFit="1" customWidth="1"/>
    <col min="2" max="2" width="28" bestFit="1" customWidth="1"/>
    <col min="3" max="3" width="32.5" bestFit="1" customWidth="1"/>
  </cols>
  <sheetData>
    <row r="2" spans="1:3" ht="16" thickBot="1" x14ac:dyDescent="0.25">
      <c r="A2" s="10" t="s">
        <v>0</v>
      </c>
      <c r="B2" s="10" t="s">
        <v>44</v>
      </c>
      <c r="C2" s="10" t="s">
        <v>45</v>
      </c>
    </row>
    <row r="3" spans="1:3" ht="16" thickTop="1" x14ac:dyDescent="0.2">
      <c r="A3" s="11" t="s">
        <v>1</v>
      </c>
      <c r="B3" s="33">
        <v>102.9</v>
      </c>
      <c r="C3" s="33">
        <v>314.10000000000002</v>
      </c>
    </row>
    <row r="4" spans="1:3" x14ac:dyDescent="0.2">
      <c r="A4" s="12" t="s">
        <v>10</v>
      </c>
      <c r="B4" s="34">
        <v>110.46</v>
      </c>
      <c r="C4" s="34">
        <v>317.89999999999998</v>
      </c>
    </row>
    <row r="5" spans="1:3" x14ac:dyDescent="0.2">
      <c r="A5" s="11" t="s">
        <v>15</v>
      </c>
      <c r="B5" s="33">
        <v>95.21</v>
      </c>
      <c r="C5" s="33">
        <v>270</v>
      </c>
    </row>
    <row r="6" spans="1:3" x14ac:dyDescent="0.2">
      <c r="A6" s="12" t="s">
        <v>16</v>
      </c>
      <c r="B6" s="34">
        <v>93.48</v>
      </c>
      <c r="C6" s="34">
        <v>304.2</v>
      </c>
    </row>
    <row r="7" spans="1:3" x14ac:dyDescent="0.2">
      <c r="A7" s="11" t="s">
        <v>17</v>
      </c>
      <c r="B7" s="33">
        <v>97.38</v>
      </c>
      <c r="C7" s="33">
        <v>230.1</v>
      </c>
    </row>
    <row r="8" spans="1:3" x14ac:dyDescent="0.2">
      <c r="A8" s="12" t="s">
        <v>18</v>
      </c>
      <c r="B8" s="34">
        <v>89.06</v>
      </c>
      <c r="C8" s="34">
        <v>193.9</v>
      </c>
    </row>
    <row r="9" spans="1:3" x14ac:dyDescent="0.2">
      <c r="A9" s="11" t="s">
        <v>19</v>
      </c>
      <c r="B9" s="33">
        <v>112.39</v>
      </c>
      <c r="C9" s="33">
        <v>408.2</v>
      </c>
    </row>
    <row r="10" spans="1:3" x14ac:dyDescent="0.2">
      <c r="A10" s="12" t="s">
        <v>20</v>
      </c>
      <c r="B10" s="34">
        <v>118.07</v>
      </c>
      <c r="C10" s="34">
        <v>451</v>
      </c>
    </row>
    <row r="11" spans="1:3" x14ac:dyDescent="0.2">
      <c r="A11" s="11" t="s">
        <v>21</v>
      </c>
      <c r="B11" s="33">
        <v>109.35</v>
      </c>
      <c r="C11" s="33">
        <v>322.3</v>
      </c>
    </row>
    <row r="12" spans="1:3" x14ac:dyDescent="0.2">
      <c r="A12" s="12" t="s">
        <v>22</v>
      </c>
      <c r="B12" s="34">
        <v>126.13</v>
      </c>
      <c r="C12" s="34">
        <v>401.2</v>
      </c>
    </row>
    <row r="13" spans="1:3" x14ac:dyDescent="0.2">
      <c r="A13" s="11" t="s">
        <v>23</v>
      </c>
      <c r="B13" s="33">
        <v>93.14</v>
      </c>
      <c r="C13" s="33">
        <v>191.7</v>
      </c>
    </row>
    <row r="14" spans="1:3" x14ac:dyDescent="0.2">
      <c r="A14" s="12" t="s">
        <v>24</v>
      </c>
      <c r="B14" s="34">
        <v>92.44</v>
      </c>
      <c r="C14" s="34">
        <v>203.2</v>
      </c>
    </row>
    <row r="15" spans="1:3" x14ac:dyDescent="0.2">
      <c r="A15" s="11" t="s">
        <v>25</v>
      </c>
      <c r="B15" s="33">
        <v>102.85</v>
      </c>
      <c r="C15" s="33">
        <v>505.6</v>
      </c>
    </row>
    <row r="16" spans="1:3" x14ac:dyDescent="0.2">
      <c r="A16" s="12" t="s">
        <v>26</v>
      </c>
      <c r="B16" s="34">
        <v>111.04</v>
      </c>
      <c r="C16" s="34">
        <v>427.8</v>
      </c>
    </row>
    <row r="17" spans="1:3" x14ac:dyDescent="0.2">
      <c r="A17" s="13" t="s">
        <v>27</v>
      </c>
      <c r="B17" s="35">
        <v>92.49</v>
      </c>
      <c r="C17" s="35">
        <v>244.3</v>
      </c>
    </row>
    <row r="19" spans="1:3" x14ac:dyDescent="0.2">
      <c r="A19" t="s">
        <v>67</v>
      </c>
    </row>
    <row r="20" spans="1:3" x14ac:dyDescent="0.2">
      <c r="A20" s="37" t="s">
        <v>68</v>
      </c>
    </row>
  </sheetData>
  <autoFilter ref="A2:C2" xr:uid="{113C72A4-6761-F541-BCAA-4454F3F89AA0}"/>
  <hyperlinks>
    <hyperlink ref="A20" r:id="rId1" xr:uid="{4E8A77D8-B986-1A45-AAEC-A902EC82469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Information</vt:lpstr>
      <vt:lpstr>Analyse</vt:lpstr>
      <vt:lpstr>Consolidated Data Set</vt:lpstr>
      <vt:lpstr>Data Set 1</vt:lpstr>
      <vt:lpstr>Data Set 2</vt:lpstr>
      <vt:lpstr>Data Set 3</vt:lpstr>
      <vt:lpstr>Data Set 4</vt:lpstr>
      <vt:lpstr>Data Set 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saddi</dc:creator>
  <cp:lastModifiedBy>Rohith Reddy Kolanu</cp:lastModifiedBy>
  <dcterms:created xsi:type="dcterms:W3CDTF">2024-11-30T17:16:47Z</dcterms:created>
  <dcterms:modified xsi:type="dcterms:W3CDTF">2025-11-06T22:15:02Z</dcterms:modified>
</cp:coreProperties>
</file>