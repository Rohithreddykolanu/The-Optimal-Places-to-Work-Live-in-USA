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rohithreddy/Documents/Projects/The Optimal Places to Work &amp; Live in USA/"/>
    </mc:Choice>
  </mc:AlternateContent>
  <xr:revisionPtr revIDLastSave="0" documentId="13_ncr:1_{1F2F11FD-600A-9842-9540-AD7DD061DEDB}" xr6:coauthVersionLast="47" xr6:coauthVersionMax="47" xr10:uidLastSave="{00000000-0000-0000-0000-000000000000}"/>
  <bookViews>
    <workbookView showSheetTabs="0" xWindow="0" yWindow="660" windowWidth="30240" windowHeight="17240" xr2:uid="{5CB80781-BAE1-4306-87BE-C169E45ED19B}"/>
  </bookViews>
  <sheets>
    <sheet name="Dashboard" sheetId="1" r:id="rId1"/>
    <sheet name="Information" sheetId="12" r:id="rId2"/>
    <sheet name="Analyse" sheetId="11" r:id="rId3"/>
    <sheet name="Consolidated Data Set" sheetId="2" r:id="rId4"/>
    <sheet name="Data Set 1" sheetId="13" r:id="rId5"/>
    <sheet name="Data Set 2" sheetId="14" r:id="rId6"/>
    <sheet name="Data Set 3" sheetId="16" r:id="rId7"/>
    <sheet name="Data Set 4" sheetId="17" r:id="rId8"/>
    <sheet name="Data Set 5" sheetId="18" r:id="rId9"/>
  </sheets>
  <definedNames>
    <definedName name="_xlnm._FilterDatabase" localSheetId="4" hidden="1">'Data Set 1'!$A$2:$G$2</definedName>
    <definedName name="_xlnm._FilterDatabase" localSheetId="5" hidden="1">'Data Set 2'!$A$2:$F$2</definedName>
    <definedName name="_xlnm._FilterDatabase" localSheetId="6" hidden="1">'Data Set 3'!$A$2:$B$2</definedName>
    <definedName name="_xlnm._FilterDatabase" localSheetId="7" hidden="1">'Data Set 4'!$A$2:$B$3</definedName>
    <definedName name="_xlnm._FilterDatabase" localSheetId="8" hidden="1">'Data Set 5'!$A$2:$C$2</definedName>
    <definedName name="_xlchart.v5.0" hidden="1">Analyse!$A$73</definedName>
    <definedName name="_xlchart.v5.1" hidden="1">Analyse!$A$74:$A$88</definedName>
    <definedName name="_xlchart.v5.2" hidden="1">Analyse!$B$73</definedName>
    <definedName name="_xlchart.v5.3" hidden="1">Analyse!$B$74:$B$88</definedName>
    <definedName name="_xlnm.Print_Area" localSheetId="0">Dashboard!$A$1:$Y$49</definedName>
    <definedName name="Slicer_State">#N/A</definedName>
  </definedNames>
  <calcPr calcId="191029"/>
  <pivotCaches>
    <pivotCache cacheId="1"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1" l="1"/>
  <c r="F38" i="1"/>
  <c r="I38" i="1"/>
  <c r="G38" i="1"/>
  <c r="E38" i="1"/>
</calcChain>
</file>

<file path=xl/sharedStrings.xml><?xml version="1.0" encoding="utf-8"?>
<sst xmlns="http://schemas.openxmlformats.org/spreadsheetml/2006/main" count="350" uniqueCount="78">
  <si>
    <t>State</t>
  </si>
  <si>
    <t>Utah</t>
  </si>
  <si>
    <t>Population</t>
  </si>
  <si>
    <t>Median Income</t>
  </si>
  <si>
    <t>Job Growth Rate</t>
  </si>
  <si>
    <t>Obesity Rate</t>
  </si>
  <si>
    <t>Poverty Rate</t>
  </si>
  <si>
    <t>Air Quality Index</t>
  </si>
  <si>
    <t>Area (in SQ. MI.)</t>
  </si>
  <si>
    <t>GDP (in Billions)</t>
  </si>
  <si>
    <t>New Hampshire</t>
  </si>
  <si>
    <t>Rankings</t>
  </si>
  <si>
    <t>Capital City</t>
  </si>
  <si>
    <t>Salt Lake City</t>
  </si>
  <si>
    <t>Concord</t>
  </si>
  <si>
    <t>Nebraska</t>
  </si>
  <si>
    <t>Minnesota</t>
  </si>
  <si>
    <t>Idaho</t>
  </si>
  <si>
    <t>Iowa</t>
  </si>
  <si>
    <t>Vermont</t>
  </si>
  <si>
    <t>Washington</t>
  </si>
  <si>
    <t>Florida</t>
  </si>
  <si>
    <t>Massachusetts</t>
  </si>
  <si>
    <t>South Dakota</t>
  </si>
  <si>
    <t>Wyoming</t>
  </si>
  <si>
    <t>Virginia</t>
  </si>
  <si>
    <t>New Jersey</t>
  </si>
  <si>
    <t>North Dakota</t>
  </si>
  <si>
    <t>Lincoln</t>
  </si>
  <si>
    <t>St. Paul</t>
  </si>
  <si>
    <t>Boise</t>
  </si>
  <si>
    <t>Des Moines</t>
  </si>
  <si>
    <t>Montpelier</t>
  </si>
  <si>
    <t>Olympia</t>
  </si>
  <si>
    <t>Tallahassee</t>
  </si>
  <si>
    <t>Boston</t>
  </si>
  <si>
    <t xml:space="preserve">	33.5</t>
  </si>
  <si>
    <t>Net Migration Rate</t>
  </si>
  <si>
    <t xml:space="preserve">	45.0</t>
  </si>
  <si>
    <t>Pierre</t>
  </si>
  <si>
    <t>Cheyenne</t>
  </si>
  <si>
    <t>Richmond</t>
  </si>
  <si>
    <t>Trenton</t>
  </si>
  <si>
    <t>Bismarck</t>
  </si>
  <si>
    <t>Average Cost of Living Index</t>
  </si>
  <si>
    <t>Average Internet Speed (in MBPS)</t>
  </si>
  <si>
    <t>Crime Rate</t>
  </si>
  <si>
    <t>Graduation Rate</t>
  </si>
  <si>
    <t>Total GDP (in Billions)</t>
  </si>
  <si>
    <t>Total Population</t>
  </si>
  <si>
    <t>Average Income</t>
  </si>
  <si>
    <t>Average Job Growth Rate</t>
  </si>
  <si>
    <t>Average Migration Rate</t>
  </si>
  <si>
    <t># Rankings</t>
  </si>
  <si>
    <t>Total Area (in SQ. MI.)</t>
  </si>
  <si>
    <t xml:space="preserve">Poverty Rate </t>
  </si>
  <si>
    <t xml:space="preserve">Crime Rate </t>
  </si>
  <si>
    <t xml:space="preserve">Obesity Rate </t>
  </si>
  <si>
    <t xml:space="preserve">Average Cost of Living Index </t>
  </si>
  <si>
    <t xml:space="preserve">Graduation Rate </t>
  </si>
  <si>
    <t xml:space="preserve">Average Internet Speed (in MBPS) </t>
  </si>
  <si>
    <t xml:space="preserve">Air Quality Index </t>
  </si>
  <si>
    <t>US News</t>
  </si>
  <si>
    <t>https://www.usnews.com/news/best-states/rankings</t>
  </si>
  <si>
    <t>World Population Review</t>
  </si>
  <si>
    <t>https://worldpopulationreview.com/state-rankings/air-quality-by-state</t>
  </si>
  <si>
    <t>https://worldpopulationreview.com/state-rankings/crime-rate-by-state</t>
  </si>
  <si>
    <t>Insure</t>
  </si>
  <si>
    <t>https://www.insure.com/cost-of-living-by-state.html</t>
  </si>
  <si>
    <t>Bibliography</t>
  </si>
  <si>
    <t>State Rankings</t>
  </si>
  <si>
    <t>1. US News</t>
  </si>
  <si>
    <t>2. World Population Review</t>
  </si>
  <si>
    <t>3. Insure</t>
  </si>
  <si>
    <t>URL:</t>
  </si>
  <si>
    <r>
      <t>Data Type</t>
    </r>
    <r>
      <rPr>
        <sz val="16"/>
        <color rgb="FF2C3E50"/>
        <rFont val="Aptos Display"/>
        <family val="2"/>
        <scheme val="major"/>
      </rPr>
      <t>:</t>
    </r>
  </si>
  <si>
    <r>
      <t>URL</t>
    </r>
    <r>
      <rPr>
        <sz val="16"/>
        <color rgb="FF2C3E50"/>
        <rFont val="Aptos Display"/>
        <family val="2"/>
        <scheme val="major"/>
      </rPr>
      <t>:</t>
    </r>
  </si>
  <si>
    <t>Average Air Quality 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</si>
</sst>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quot;#,##0"/>
    <numFmt numFmtId="165" formatCode="0.000"/>
    <numFmt numFmtId="166" formatCode="0.0"/>
    <numFmt numFmtId="167" formatCode="&quot;$&quot;#,##0.00"/>
  </numFmts>
  <fonts count="17" x14ac:knownFonts="1">
    <font>
      <sz val="11"/>
      <color theme="1"/>
      <name val="Aptos Narrow"/>
      <family val="2"/>
      <scheme val="minor"/>
    </font>
    <font>
      <b/>
      <sz val="11"/>
      <color theme="1"/>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sz val="16"/>
      <color theme="1"/>
      <name val="Aptos Narrow"/>
      <family val="2"/>
      <scheme val="minor"/>
    </font>
    <font>
      <b/>
      <sz val="16"/>
      <color rgb="FF2C3E50"/>
      <name val="Aptos Display"/>
      <family val="2"/>
      <scheme val="major"/>
    </font>
    <font>
      <sz val="16"/>
      <color rgb="FF2C3E50"/>
      <name val="Aptos Display"/>
      <family val="2"/>
      <scheme val="major"/>
    </font>
    <font>
      <u/>
      <sz val="16"/>
      <color theme="3" tint="0.249977111117893"/>
      <name val="Aptos Display"/>
      <family val="2"/>
      <scheme val="major"/>
    </font>
    <font>
      <sz val="16"/>
      <color rgb="FF2C3E50"/>
      <name val="Aptos Narrow"/>
      <family val="2"/>
      <scheme val="minor"/>
    </font>
    <font>
      <u/>
      <sz val="16"/>
      <color theme="3" tint="0.249977111117893"/>
      <name val="Aptos Narrow"/>
      <family val="2"/>
      <scheme val="minor"/>
    </font>
    <font>
      <sz val="16"/>
      <color theme="3" tint="0.249977111117893"/>
      <name val="Aptos Narrow"/>
      <family val="2"/>
      <scheme val="minor"/>
    </font>
    <font>
      <sz val="11"/>
      <color theme="1"/>
      <name val="Calibri"/>
      <family val="2"/>
    </font>
    <font>
      <b/>
      <sz val="11"/>
      <color theme="1"/>
      <name val="Calibri"/>
      <family val="2"/>
    </font>
    <font>
      <b/>
      <sz val="11"/>
      <color rgb="FF2C3E50"/>
      <name val="Calibri"/>
      <family val="2"/>
    </font>
    <font>
      <b/>
      <sz val="12"/>
      <color rgb="FFECF0F1"/>
      <name val="Calibri"/>
      <family val="2"/>
    </font>
    <font>
      <b/>
      <sz val="16"/>
      <color rgb="FFECF0F1"/>
      <name val="Calibri"/>
      <family val="2"/>
    </font>
  </fonts>
  <fills count="7">
    <fill>
      <patternFill patternType="none"/>
    </fill>
    <fill>
      <patternFill patternType="gray125"/>
    </fill>
    <fill>
      <patternFill patternType="solid">
        <fgColor rgb="FFECF0F1"/>
        <bgColor indexed="64"/>
      </patternFill>
    </fill>
    <fill>
      <patternFill patternType="solid">
        <fgColor theme="1"/>
        <bgColor theme="1"/>
      </patternFill>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rgb="FF2C3E50"/>
        <bgColor indexed="64"/>
      </patternFill>
    </fill>
  </fills>
  <borders count="11">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style="dotted">
        <color theme="0"/>
      </left>
      <right style="dotted">
        <color theme="0"/>
      </right>
      <top style="dotted">
        <color theme="0"/>
      </top>
      <bottom style="dotted">
        <color theme="0"/>
      </bottom>
      <diagonal/>
    </border>
  </borders>
  <cellStyleXfs count="2">
    <xf numFmtId="0" fontId="0" fillId="0" borderId="0"/>
    <xf numFmtId="0" fontId="4" fillId="0" borderId="0" applyNumberFormat="0" applyFill="0" applyBorder="0" applyAlignment="0" applyProtection="0"/>
  </cellStyleXfs>
  <cellXfs count="71">
    <xf numFmtId="0" fontId="0" fillId="0" borderId="0" xfId="0"/>
    <xf numFmtId="10"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164" fontId="0" fillId="0" borderId="0" xfId="0" applyNumberFormat="1" applyAlignment="1">
      <alignment horizontal="center" vertical="center"/>
    </xf>
    <xf numFmtId="10"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1" fillId="0" borderId="0" xfId="0" applyFont="1" applyAlignment="1">
      <alignment horizontal="center" vertical="center"/>
    </xf>
    <xf numFmtId="167" fontId="0" fillId="0" borderId="0" xfId="0" applyNumberFormat="1" applyAlignment="1">
      <alignment horizontal="center" vertical="center"/>
    </xf>
    <xf numFmtId="0" fontId="3" fillId="3" borderId="2" xfId="0" applyFont="1" applyFill="1" applyBorder="1" applyAlignment="1">
      <alignment horizontal="center" vertical="center"/>
    </xf>
    <xf numFmtId="0" fontId="0" fillId="4" borderId="4" xfId="0" applyFill="1" applyBorder="1" applyAlignment="1">
      <alignment horizontal="center" vertical="center"/>
    </xf>
    <xf numFmtId="0" fontId="0" fillId="5" borderId="4" xfId="0" applyFill="1" applyBorder="1" applyAlignment="1">
      <alignment horizontal="center" vertical="center"/>
    </xf>
    <xf numFmtId="0" fontId="0" fillId="4" borderId="6" xfId="0" applyFill="1" applyBorder="1" applyAlignment="1">
      <alignment horizontal="center" vertical="center"/>
    </xf>
    <xf numFmtId="0" fontId="3" fillId="3" borderId="1" xfId="0" applyFont="1" applyFill="1" applyBorder="1" applyAlignment="1">
      <alignment horizontal="center" vertical="center"/>
    </xf>
    <xf numFmtId="1" fontId="0" fillId="4" borderId="3" xfId="0" applyNumberFormat="1" applyFill="1" applyBorder="1" applyAlignment="1">
      <alignment horizontal="center" vertical="center"/>
    </xf>
    <xf numFmtId="1" fontId="0" fillId="5" borderId="3" xfId="0" applyNumberFormat="1" applyFill="1" applyBorder="1" applyAlignment="1">
      <alignment horizontal="center" vertical="center"/>
    </xf>
    <xf numFmtId="1" fontId="0" fillId="4" borderId="5" xfId="0" applyNumberFormat="1" applyFill="1" applyBorder="1" applyAlignment="1">
      <alignment horizontal="center" vertical="center"/>
    </xf>
    <xf numFmtId="1" fontId="0" fillId="4" borderId="4" xfId="0" applyNumberFormat="1" applyFill="1" applyBorder="1" applyAlignment="1">
      <alignment horizontal="center" vertical="center"/>
    </xf>
    <xf numFmtId="1" fontId="0" fillId="5" borderId="4" xfId="0" applyNumberFormat="1" applyFill="1" applyBorder="1" applyAlignment="1">
      <alignment horizontal="center" vertical="center"/>
    </xf>
    <xf numFmtId="1" fontId="0" fillId="4" borderId="6" xfId="0" applyNumberFormat="1" applyFill="1" applyBorder="1" applyAlignment="1">
      <alignment horizontal="center" vertical="center"/>
    </xf>
    <xf numFmtId="167" fontId="0" fillId="4" borderId="4" xfId="0" applyNumberFormat="1" applyFill="1" applyBorder="1" applyAlignment="1">
      <alignment horizontal="center" vertical="center"/>
    </xf>
    <xf numFmtId="167" fontId="0" fillId="5" borderId="4" xfId="0" applyNumberFormat="1" applyFill="1" applyBorder="1" applyAlignment="1">
      <alignment horizontal="center" vertical="center"/>
    </xf>
    <xf numFmtId="167" fontId="0" fillId="4" borderId="6" xfId="0" applyNumberFormat="1" applyFill="1" applyBorder="1" applyAlignment="1">
      <alignment horizontal="center" vertical="center"/>
    </xf>
    <xf numFmtId="10" fontId="0" fillId="4" borderId="4" xfId="0" applyNumberFormat="1" applyFill="1" applyBorder="1" applyAlignment="1">
      <alignment horizontal="center" vertical="center"/>
    </xf>
    <xf numFmtId="10" fontId="0" fillId="5" borderId="4" xfId="0" applyNumberFormat="1" applyFill="1" applyBorder="1" applyAlignment="1">
      <alignment horizontal="center" vertical="center"/>
    </xf>
    <xf numFmtId="10" fontId="0" fillId="4" borderId="6" xfId="0" applyNumberFormat="1" applyFill="1" applyBorder="1" applyAlignment="1">
      <alignment horizontal="center" vertical="center"/>
    </xf>
    <xf numFmtId="164" fontId="0" fillId="4" borderId="4" xfId="0" applyNumberFormat="1" applyFill="1" applyBorder="1" applyAlignment="1">
      <alignment horizontal="center" vertical="center"/>
    </xf>
    <xf numFmtId="165" fontId="0" fillId="4" borderId="4" xfId="0" applyNumberFormat="1" applyFill="1" applyBorder="1" applyAlignment="1">
      <alignment horizontal="center" vertical="center"/>
    </xf>
    <xf numFmtId="164" fontId="0" fillId="5" borderId="4" xfId="0" applyNumberFormat="1" applyFill="1" applyBorder="1" applyAlignment="1">
      <alignment horizontal="center" vertical="center"/>
    </xf>
    <xf numFmtId="165" fontId="0" fillId="5" borderId="4" xfId="0" applyNumberFormat="1" applyFill="1" applyBorder="1" applyAlignment="1">
      <alignment horizontal="center" vertical="center"/>
    </xf>
    <xf numFmtId="164" fontId="0" fillId="4" borderId="6" xfId="0" applyNumberFormat="1" applyFill="1" applyBorder="1" applyAlignment="1">
      <alignment horizontal="center" vertical="center"/>
    </xf>
    <xf numFmtId="165" fontId="0" fillId="4" borderId="6" xfId="0" applyNumberFormat="1" applyFill="1" applyBorder="1" applyAlignment="1">
      <alignment horizontal="center" vertical="center"/>
    </xf>
    <xf numFmtId="166" fontId="0" fillId="4" borderId="4" xfId="0" applyNumberFormat="1" applyFill="1" applyBorder="1" applyAlignment="1">
      <alignment horizontal="center" vertical="center"/>
    </xf>
    <xf numFmtId="166" fontId="0" fillId="5" borderId="4" xfId="0" applyNumberFormat="1" applyFill="1" applyBorder="1" applyAlignment="1">
      <alignment horizontal="center" vertical="center"/>
    </xf>
    <xf numFmtId="166" fontId="0" fillId="4" borderId="6" xfId="0" applyNumberFormat="1" applyFill="1" applyBorder="1" applyAlignment="1">
      <alignment horizontal="center" vertical="center"/>
    </xf>
    <xf numFmtId="0" fontId="3" fillId="3" borderId="7" xfId="0" applyFont="1" applyFill="1" applyBorder="1" applyAlignment="1">
      <alignment horizontal="center" vertical="center"/>
    </xf>
    <xf numFmtId="0" fontId="4" fillId="0" borderId="0" xfId="1"/>
    <xf numFmtId="10" fontId="0" fillId="4" borderId="8" xfId="0" applyNumberFormat="1" applyFill="1" applyBorder="1" applyAlignment="1">
      <alignment horizontal="center" vertical="center"/>
    </xf>
    <xf numFmtId="10" fontId="0" fillId="5" borderId="8" xfId="0" applyNumberFormat="1" applyFill="1" applyBorder="1" applyAlignment="1">
      <alignment horizontal="center" vertical="center"/>
    </xf>
    <xf numFmtId="10" fontId="0" fillId="4" borderId="9" xfId="0" applyNumberFormat="1" applyFill="1" applyBorder="1" applyAlignment="1">
      <alignment horizontal="center" vertical="center"/>
    </xf>
    <xf numFmtId="0" fontId="0" fillId="0" borderId="0" xfId="0" pivotButton="1" applyAlignment="1">
      <alignment horizontal="center" vertical="center"/>
    </xf>
    <xf numFmtId="0" fontId="5" fillId="0" borderId="0" xfId="0" applyFont="1"/>
    <xf numFmtId="0" fontId="6" fillId="2" borderId="0" xfId="0" applyFont="1" applyFill="1"/>
    <xf numFmtId="0" fontId="7" fillId="2" borderId="0" xfId="0" applyFont="1" applyFill="1"/>
    <xf numFmtId="0" fontId="8" fillId="2" borderId="0" xfId="1" applyFont="1" applyFill="1"/>
    <xf numFmtId="0" fontId="9" fillId="2" borderId="0" xfId="0" applyFont="1" applyFill="1"/>
    <xf numFmtId="0" fontId="10" fillId="2" borderId="0" xfId="1" applyFont="1" applyFill="1"/>
    <xf numFmtId="0" fontId="11" fillId="2" borderId="0" xfId="0" applyFont="1" applyFill="1"/>
    <xf numFmtId="0" fontId="5" fillId="2" borderId="0" xfId="0" applyFont="1" applyFill="1"/>
    <xf numFmtId="0" fontId="12" fillId="0" borderId="0" xfId="0" applyFont="1"/>
    <xf numFmtId="0" fontId="13" fillId="2" borderId="10" xfId="0" applyFont="1" applyFill="1" applyBorder="1" applyAlignment="1">
      <alignment horizontal="left" vertical="center"/>
    </xf>
    <xf numFmtId="0" fontId="14" fillId="2" borderId="10" xfId="0" applyFont="1" applyFill="1" applyBorder="1" applyAlignment="1">
      <alignment horizontal="left" vertical="center"/>
    </xf>
    <xf numFmtId="167" fontId="14" fillId="2" borderId="10" xfId="0" applyNumberFormat="1" applyFont="1" applyFill="1" applyBorder="1" applyAlignment="1">
      <alignment horizontal="center" vertical="center"/>
    </xf>
    <xf numFmtId="4" fontId="14" fillId="2" borderId="10" xfId="0" applyNumberFormat="1" applyFont="1" applyFill="1" applyBorder="1" applyAlignment="1">
      <alignment horizontal="center" vertical="center"/>
    </xf>
    <xf numFmtId="164" fontId="14" fillId="2" borderId="10" xfId="0" applyNumberFormat="1" applyFont="1" applyFill="1" applyBorder="1" applyAlignment="1">
      <alignment horizontal="center" vertical="center"/>
    </xf>
    <xf numFmtId="10" fontId="14" fillId="2" borderId="10" xfId="0" applyNumberFormat="1" applyFont="1" applyFill="1" applyBorder="1" applyAlignment="1">
      <alignment horizontal="center" vertical="center"/>
    </xf>
    <xf numFmtId="0" fontId="9" fillId="6" borderId="0" xfId="0" applyFont="1" applyFill="1"/>
    <xf numFmtId="0" fontId="11" fillId="6" borderId="0" xfId="0" applyFont="1" applyFill="1"/>
    <xf numFmtId="0" fontId="5" fillId="6" borderId="0" xfId="0" applyFont="1" applyFill="1"/>
    <xf numFmtId="0" fontId="12" fillId="2" borderId="0" xfId="0" applyFont="1" applyFill="1"/>
    <xf numFmtId="0" fontId="12" fillId="2" borderId="10" xfId="0" applyFont="1" applyFill="1" applyBorder="1"/>
    <xf numFmtId="164" fontId="12" fillId="2" borderId="0" xfId="0" applyNumberFormat="1" applyFont="1" applyFill="1"/>
    <xf numFmtId="0" fontId="15" fillId="2" borderId="0" xfId="0" applyFont="1" applyFill="1" applyAlignment="1">
      <alignment vertical="center"/>
    </xf>
    <xf numFmtId="0" fontId="15" fillId="6" borderId="10" xfId="0" applyFont="1" applyFill="1" applyBorder="1" applyAlignment="1">
      <alignment horizontal="center" vertical="center"/>
    </xf>
    <xf numFmtId="0" fontId="15" fillId="6" borderId="10" xfId="0" applyFont="1" applyFill="1" applyBorder="1" applyAlignment="1">
      <alignment horizontal="center" textRotation="45"/>
    </xf>
    <xf numFmtId="166" fontId="16" fillId="6" borderId="10" xfId="0" applyNumberFormat="1" applyFont="1" applyFill="1" applyBorder="1" applyAlignment="1">
      <alignment horizontal="center"/>
    </xf>
    <xf numFmtId="1" fontId="16" fillId="6" borderId="10" xfId="0" applyNumberFormat="1" applyFont="1" applyFill="1" applyBorder="1" applyAlignment="1">
      <alignment horizontal="center"/>
    </xf>
    <xf numFmtId="165" fontId="16" fillId="6" borderId="10" xfId="0" applyNumberFormat="1" applyFont="1" applyFill="1" applyBorder="1" applyAlignment="1">
      <alignment horizontal="center"/>
    </xf>
    <xf numFmtId="10" fontId="16" fillId="6" borderId="10" xfId="0" applyNumberFormat="1" applyFont="1" applyFill="1" applyBorder="1" applyAlignment="1">
      <alignment horizontal="center"/>
    </xf>
    <xf numFmtId="0" fontId="16" fillId="6" borderId="10" xfId="0" applyFont="1" applyFill="1" applyBorder="1" applyAlignment="1">
      <alignment horizontal="center"/>
    </xf>
  </cellXfs>
  <cellStyles count="2">
    <cellStyle name="Hyperlink" xfId="1" builtinId="8"/>
    <cellStyle name="Normal" xfId="0" builtinId="0"/>
  </cellStyles>
  <dxfs count="158">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numFmt numFmtId="14" formatCode="0.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66" formatCode="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65" formatCode="0.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4" formatCode="0.00%"/>
      <alignment horizontal="center" vertical="center" textRotation="0" wrapText="0" indent="0" justifyLastLine="0" shrinkToFit="0" readingOrder="0"/>
    </dxf>
    <dxf>
      <numFmt numFmtId="164" formatCode="&quot;$&quot;#,##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67" formatCode="&quot;$&quot;#,##0.0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bgColor rgb="FFECF0F1"/>
        </patternFill>
      </fill>
    </dxf>
    <dxf>
      <fill>
        <patternFill>
          <bgColor rgb="FFECF0F1"/>
        </patternFill>
      </fill>
    </dxf>
    <dxf>
      <fill>
        <patternFill>
          <bgColor rgb="FFECF0F1"/>
        </patternFill>
      </fill>
    </dxf>
    <dxf>
      <fill>
        <patternFill>
          <bgColor rgb="FFECF0F1"/>
        </patternFill>
      </fill>
    </dxf>
    <dxf>
      <fill>
        <patternFill>
          <bgColor rgb="FFECF0F1"/>
        </patternFill>
      </fill>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bottom style="dotted">
          <color theme="0"/>
        </bottom>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border>
        <left style="dotted">
          <color theme="0"/>
        </left>
        <right style="dotted">
          <color theme="0"/>
        </right>
        <top style="dotted">
          <color theme="0"/>
        </top>
        <bottom style="dotted">
          <color theme="0"/>
        </bottom>
        <vertical style="dotted">
          <color theme="0"/>
        </vertical>
        <horizontal style="dotted">
          <color theme="0"/>
        </horizontal>
      </border>
    </dxf>
    <dxf>
      <font>
        <name val="Calibri"/>
        <family val="2"/>
      </font>
    </dxf>
    <dxf>
      <font>
        <name val="Calibri"/>
        <family val="2"/>
      </font>
    </dxf>
    <dxf>
      <font>
        <name val="Calibri"/>
        <family val="2"/>
      </font>
    </dxf>
    <dxf>
      <font>
        <name val="Calibri"/>
        <family val="2"/>
      </font>
    </dxf>
    <dxf>
      <font>
        <name val="Calibri"/>
        <family val="2"/>
      </font>
    </dxf>
    <dxf>
      <font>
        <b/>
      </font>
    </dxf>
    <dxf>
      <font>
        <b/>
      </font>
    </dxf>
    <dxf>
      <font>
        <color rgb="FF2C3E50"/>
      </font>
    </dxf>
    <dxf>
      <font>
        <color rgb="FF2C3E50"/>
      </font>
    </dxf>
    <dxf>
      <font>
        <color theme="1"/>
      </font>
    </dxf>
    <dxf>
      <font>
        <color theme="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4" formatCode="#,##0.00"/>
    </dxf>
    <dxf>
      <font>
        <color rgb="FF2C3E50"/>
      </font>
    </dxf>
    <dxf>
      <font>
        <color rgb="FF2C3E50"/>
      </font>
    </dxf>
    <dxf>
      <font>
        <b/>
      </font>
    </dxf>
    <dxf>
      <font>
        <b/>
      </font>
    </dxf>
    <dxf>
      <alignment horizontal="left"/>
    </dxf>
    <dxf>
      <alignment horizontal="left"/>
    </dxf>
    <dxf>
      <alignment horizontal="left"/>
    </dxf>
    <dxf>
      <alignment vertical="center"/>
    </dxf>
    <dxf>
      <alignment vertical="center"/>
    </dxf>
    <dxf>
      <alignment vertical="center"/>
    </dxf>
    <dxf>
      <alignment vertical="center"/>
    </dxf>
    <dxf>
      <alignment vertical="center"/>
    </dxf>
    <dxf>
      <alignment horizontal="center"/>
    </dxf>
    <dxf>
      <alignment horizontal="center"/>
    </dxf>
    <dxf>
      <fill>
        <gradientFill degree="180">
          <stop position="0">
            <color theme="0"/>
          </stop>
          <stop position="1">
            <color theme="4"/>
          </stop>
        </gradientFill>
      </fill>
    </dxf>
    <dxf>
      <fill>
        <gradientFill>
          <stop position="0">
            <color theme="0"/>
          </stop>
          <stop position="1">
            <color theme="4"/>
          </stop>
        </gradientFill>
      </fill>
    </dxf>
    <dxf>
      <fill>
        <patternFill>
          <bgColor rgb="FF2C3E50"/>
        </patternFill>
      </fill>
    </dxf>
    <dxf>
      <fill>
        <gradientFill>
          <stop position="0">
            <color theme="0"/>
          </stop>
          <stop position="1">
            <color theme="4"/>
          </stop>
        </gradientFill>
      </fill>
    </dxf>
  </dxfs>
  <tableStyles count="4" defaultTableStyle="TableStyleMedium2" defaultPivotStyle="PivotStyleLight16">
    <tableStyle name="PivotTable Style 1" table="0" count="1" xr9:uid="{6B2A21D1-B562-470D-9201-6EC268CE6382}">
      <tableStyleElement type="wholeTable" dxfId="157"/>
    </tableStyle>
    <tableStyle name="Slicer Style 1" pivot="0" table="0" count="1" xr9:uid="{30224EE3-70B6-4B6B-B9A4-90A44675351A}">
      <tableStyleElement type="wholeTable" dxfId="156"/>
    </tableStyle>
    <tableStyle name="Slicer Style 2" pivot="0" table="0" count="1" xr9:uid="{E3441EFD-C9D6-40FB-A6EA-602CA248DB70}">
      <tableStyleElement type="wholeTable" dxfId="155"/>
    </tableStyle>
    <tableStyle name="Slicer Style 3" pivot="0" table="0" count="1" xr9:uid="{CEA86265-075C-4FF4-9853-1A854FC21220}">
      <tableStyleElement type="wholeTable" dxfId="154"/>
    </tableStyle>
  </tableStyles>
  <colors>
    <mruColors>
      <color rgb="FFECF0F1"/>
      <color rgb="FF2C3E50"/>
      <color rgb="FFE74C3C"/>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Dashboard.xlsm]Analyse!PivotTable3</c:name>
    <c:fmtId val="46"/>
  </c:pivotSource>
  <c:chart>
    <c:title>
      <c:tx>
        <c:rich>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r>
              <a:rPr lang="en-US">
                <a:solidFill>
                  <a:srgbClr val="2C3E50"/>
                </a:solidFill>
              </a:rPr>
              <a:t>Area (in SQ. MI.)</a:t>
            </a:r>
          </a:p>
        </c:rich>
      </c:tx>
      <c:overlay val="0"/>
      <c:spPr>
        <a:noFill/>
        <a:ln>
          <a:noFill/>
        </a:ln>
        <a:effectLst/>
      </c:spPr>
      <c:txPr>
        <a:bodyPr rot="0" spcFirstLastPara="1" vertOverflow="ellipsis" vert="horz" wrap="square" anchor="ctr" anchorCtr="1"/>
        <a:lstStyle/>
        <a:p>
          <a:pPr>
            <a:defRPr sz="1600" b="1" i="0" u="none" strike="noStrike" kern="1200" baseline="0">
              <a:solidFill>
                <a:srgbClr val="2C3E50"/>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Analyse!$B$5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Analyse!$A$6:$A$20</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Analyse!$B$6:$B$20</c:f>
              <c:numCache>
                <c:formatCode>General</c:formatCode>
                <c:ptCount val="15"/>
                <c:pt idx="0">
                  <c:v>71404</c:v>
                </c:pt>
                <c:pt idx="1">
                  <c:v>83569</c:v>
                </c:pt>
                <c:pt idx="2">
                  <c:v>56273</c:v>
                </c:pt>
                <c:pt idx="3">
                  <c:v>10554</c:v>
                </c:pt>
                <c:pt idx="4">
                  <c:v>86943</c:v>
                </c:pt>
                <c:pt idx="5">
                  <c:v>77347</c:v>
                </c:pt>
                <c:pt idx="6">
                  <c:v>9350</c:v>
                </c:pt>
                <c:pt idx="7">
                  <c:v>8719</c:v>
                </c:pt>
                <c:pt idx="8">
                  <c:v>70699</c:v>
                </c:pt>
                <c:pt idx="9">
                  <c:v>77116</c:v>
                </c:pt>
                <c:pt idx="10">
                  <c:v>84898</c:v>
                </c:pt>
                <c:pt idx="11">
                  <c:v>9615</c:v>
                </c:pt>
                <c:pt idx="12">
                  <c:v>42775</c:v>
                </c:pt>
                <c:pt idx="13">
                  <c:v>71301</c:v>
                </c:pt>
                <c:pt idx="14">
                  <c:v>97810</c:v>
                </c:pt>
              </c:numCache>
            </c:numRef>
          </c:val>
          <c:extLst>
            <c:ext xmlns:c16="http://schemas.microsoft.com/office/drawing/2014/chart" uri="{C3380CC4-5D6E-409C-BE32-E72D297353CC}">
              <c16:uniqueId val="{00000000-58CF-413B-9696-9A21BFFE2667}"/>
            </c:ext>
          </c:extLst>
        </c:ser>
        <c:dLbls>
          <c:showLegendKey val="0"/>
          <c:showVal val="1"/>
          <c:showCatName val="0"/>
          <c:showSerName val="0"/>
          <c:showPercent val="0"/>
          <c:showBubbleSize val="0"/>
        </c:dLbls>
        <c:gapWidth val="150"/>
        <c:shape val="box"/>
        <c:axId val="1918519999"/>
        <c:axId val="1918517119"/>
        <c:axId val="0"/>
      </c:bar3DChart>
      <c:catAx>
        <c:axId val="19185199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7119"/>
        <c:crosses val="autoZero"/>
        <c:auto val="1"/>
        <c:lblAlgn val="ctr"/>
        <c:lblOffset val="100"/>
        <c:noMultiLvlLbl val="0"/>
      </c:catAx>
      <c:valAx>
        <c:axId val="19185171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8519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Dashboard.xlsm]Analyse!PivotTable5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rgbClr val="2C3E50"/>
                </a:solidFill>
              </a:rPr>
              <a:t>Poverty</a:t>
            </a:r>
            <a:r>
              <a:rPr lang="en-US" sz="1600" b="1" baseline="0">
                <a:solidFill>
                  <a:srgbClr val="2C3E50"/>
                </a:solidFill>
              </a:rPr>
              <a:t> &amp; Crime Rate</a:t>
            </a:r>
            <a:endParaRPr lang="en-US" sz="1600" b="1">
              <a:solidFill>
                <a:srgbClr val="2C3E5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Analyse!$B$22</c:f>
              <c:strCache>
                <c:ptCount val="1"/>
                <c:pt idx="0">
                  <c:v>Poverty Rate </c:v>
                </c:pt>
              </c:strCache>
            </c:strRef>
          </c:tx>
          <c:spPr>
            <a:solidFill>
              <a:schemeClr val="accent1"/>
            </a:solidFill>
            <a:ln>
              <a:noFill/>
            </a:ln>
            <a:effectLst/>
          </c:spP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Analyse!$B$23:$B$37</c:f>
              <c:numCache>
                <c:formatCode>0.000</c:formatCode>
                <c:ptCount val="15"/>
                <c:pt idx="0">
                  <c:v>0.127</c:v>
                </c:pt>
                <c:pt idx="1">
                  <c:v>0.107</c:v>
                </c:pt>
                <c:pt idx="2">
                  <c:v>0.126</c:v>
                </c:pt>
                <c:pt idx="3">
                  <c:v>0.104</c:v>
                </c:pt>
                <c:pt idx="4">
                  <c:v>9.6000000000000002E-2</c:v>
                </c:pt>
                <c:pt idx="5">
                  <c:v>0.112</c:v>
                </c:pt>
                <c:pt idx="6">
                  <c:v>7.1999999999999995E-2</c:v>
                </c:pt>
                <c:pt idx="7">
                  <c:v>9.7000000000000003E-2</c:v>
                </c:pt>
                <c:pt idx="8">
                  <c:v>0.115</c:v>
                </c:pt>
                <c:pt idx="9">
                  <c:v>0.125</c:v>
                </c:pt>
                <c:pt idx="10">
                  <c:v>8.2000000000000003E-2</c:v>
                </c:pt>
                <c:pt idx="11">
                  <c:v>0.104</c:v>
                </c:pt>
                <c:pt idx="12">
                  <c:v>0.106</c:v>
                </c:pt>
                <c:pt idx="13">
                  <c:v>0.1</c:v>
                </c:pt>
                <c:pt idx="14">
                  <c:v>0.11799999999999999</c:v>
                </c:pt>
              </c:numCache>
            </c:numRef>
          </c:val>
          <c:extLst>
            <c:ext xmlns:c16="http://schemas.microsoft.com/office/drawing/2014/chart" uri="{C3380CC4-5D6E-409C-BE32-E72D297353CC}">
              <c16:uniqueId val="{00000000-990C-4330-8B7E-CC26F1140E58}"/>
            </c:ext>
          </c:extLst>
        </c:ser>
        <c:dLbls>
          <c:showLegendKey val="0"/>
          <c:showVal val="0"/>
          <c:showCatName val="0"/>
          <c:showSerName val="0"/>
          <c:showPercent val="0"/>
          <c:showBubbleSize val="0"/>
        </c:dLbls>
        <c:axId val="1437735759"/>
        <c:axId val="1984054799"/>
      </c:areaChart>
      <c:lineChart>
        <c:grouping val="stacked"/>
        <c:varyColors val="0"/>
        <c:ser>
          <c:idx val="1"/>
          <c:order val="1"/>
          <c:tx>
            <c:strRef>
              <c:f>Analyse!$C$22</c:f>
              <c:strCache>
                <c:ptCount val="1"/>
                <c:pt idx="0">
                  <c:v>Crime Rate </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Analyse!$A$23:$A$37</c:f>
              <c:strCache>
                <c:ptCount val="15"/>
                <c:pt idx="0">
                  <c:v>Florida</c:v>
                </c:pt>
                <c:pt idx="1">
                  <c:v>Idaho</c:v>
                </c:pt>
                <c:pt idx="2">
                  <c:v>Iowa</c:v>
                </c:pt>
                <c:pt idx="3">
                  <c:v>Massachusetts</c:v>
                </c:pt>
                <c:pt idx="4">
                  <c:v>Minnesota</c:v>
                </c:pt>
                <c:pt idx="5">
                  <c:v>Nebraska</c:v>
                </c:pt>
                <c:pt idx="6">
                  <c:v>New Hampshire</c:v>
                </c:pt>
                <c:pt idx="7">
                  <c:v>New Jersey</c:v>
                </c:pt>
                <c:pt idx="8">
                  <c:v>North Dakota</c:v>
                </c:pt>
                <c:pt idx="9">
                  <c:v>South Dakota</c:v>
                </c:pt>
                <c:pt idx="10">
                  <c:v>Utah</c:v>
                </c:pt>
                <c:pt idx="11">
                  <c:v>Vermont</c:v>
                </c:pt>
                <c:pt idx="12">
                  <c:v>Virginia</c:v>
                </c:pt>
                <c:pt idx="13">
                  <c:v>Washington</c:v>
                </c:pt>
                <c:pt idx="14">
                  <c:v>Wyoming</c:v>
                </c:pt>
              </c:strCache>
            </c:strRef>
          </c:cat>
          <c:val>
            <c:numRef>
              <c:f>Analyse!$C$23:$C$37</c:f>
              <c:numCache>
                <c:formatCode>0.00%</c:formatCode>
                <c:ptCount val="15"/>
                <c:pt idx="0">
                  <c:v>3.9219999999999998E-2</c:v>
                </c:pt>
                <c:pt idx="1">
                  <c:v>2.4660000000000001E-2</c:v>
                </c:pt>
                <c:pt idx="2">
                  <c:v>2.4660000000000001E-2</c:v>
                </c:pt>
                <c:pt idx="3">
                  <c:v>2.4150000000000001E-2</c:v>
                </c:pt>
                <c:pt idx="4">
                  <c:v>4.5269999999999998E-2</c:v>
                </c:pt>
                <c:pt idx="5">
                  <c:v>4.1520000000000001E-2</c:v>
                </c:pt>
                <c:pt idx="6">
                  <c:v>2.3439999999999999E-2</c:v>
                </c:pt>
                <c:pt idx="7">
                  <c:v>2.512E-2</c:v>
                </c:pt>
                <c:pt idx="8">
                  <c:v>4.5769999999999998E-2</c:v>
                </c:pt>
                <c:pt idx="9">
                  <c:v>4.4150000000000002E-2</c:v>
                </c:pt>
                <c:pt idx="10">
                  <c:v>5.1900000000000002E-2</c:v>
                </c:pt>
                <c:pt idx="11">
                  <c:v>2.6069999999999999E-2</c:v>
                </c:pt>
                <c:pt idx="12">
                  <c:v>3.1210000000000002E-2</c:v>
                </c:pt>
                <c:pt idx="13">
                  <c:v>5.7590000000000002E-2</c:v>
                </c:pt>
                <c:pt idx="14">
                  <c:v>3.4549999999999997E-2</c:v>
                </c:pt>
              </c:numCache>
            </c:numRef>
          </c:val>
          <c:smooth val="0"/>
          <c:extLst>
            <c:ext xmlns:c16="http://schemas.microsoft.com/office/drawing/2014/chart" uri="{C3380CC4-5D6E-409C-BE32-E72D297353CC}">
              <c16:uniqueId val="{00000001-990C-4330-8B7E-CC26F1140E58}"/>
            </c:ext>
          </c:extLst>
        </c:ser>
        <c:dLbls>
          <c:showLegendKey val="0"/>
          <c:showVal val="0"/>
          <c:showCatName val="0"/>
          <c:showSerName val="0"/>
          <c:showPercent val="0"/>
          <c:showBubbleSize val="0"/>
        </c:dLbls>
        <c:marker val="1"/>
        <c:smooth val="0"/>
        <c:axId val="1973053599"/>
        <c:axId val="1973056479"/>
      </c:lineChart>
      <c:catAx>
        <c:axId val="1437735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4054799"/>
        <c:crosses val="autoZero"/>
        <c:auto val="1"/>
        <c:lblAlgn val="ctr"/>
        <c:lblOffset val="100"/>
        <c:noMultiLvlLbl val="0"/>
      </c:catAx>
      <c:valAx>
        <c:axId val="1984054799"/>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7735759"/>
        <c:crosses val="autoZero"/>
        <c:crossBetween val="between"/>
      </c:valAx>
      <c:valAx>
        <c:axId val="1973056479"/>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3053599"/>
        <c:crosses val="max"/>
        <c:crossBetween val="between"/>
      </c:valAx>
      <c:catAx>
        <c:axId val="1973053599"/>
        <c:scaling>
          <c:orientation val="minMax"/>
        </c:scaling>
        <c:delete val="1"/>
        <c:axPos val="b"/>
        <c:numFmt formatCode="General" sourceLinked="1"/>
        <c:majorTickMark val="out"/>
        <c:minorTickMark val="none"/>
        <c:tickLblPos val="nextTo"/>
        <c:crossAx val="197305647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rich>
          <a:bodyPr spcFirstLastPara="1" vertOverflow="ellipsis" horzOverflow="overflow" wrap="square" lIns="0" tIns="0" rIns="0" bIns="0"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400" b="1" i="0" u="none" strike="noStrike" baseline="0">
                <a:solidFill>
                  <a:schemeClr val="bg1"/>
                </a:solidFill>
                <a:effectLst/>
                <a:latin typeface="Aptos Narrow" panose="02110004020202020204"/>
                <a:ea typeface="Calibri" panose="020F0502020204030204" pitchFamily="34" charset="0"/>
                <a:cs typeface="Calibri" panose="020F0502020204030204" pitchFamily="34" charset="0"/>
              </a:rPr>
              <a:t>Average Internet Speed (in MBPS) </a:t>
            </a:r>
            <a:endParaRPr lang="en-US">
              <a:solidFill>
                <a:schemeClr val="bg1"/>
              </a:solidFill>
              <a:effectLst/>
            </a:endParaRPr>
          </a:p>
        </cx:rich>
      </cx:tx>
      <cx:spPr>
        <a:solidFill>
          <a:schemeClr val="tx1"/>
        </a:solidFill>
      </cx:spPr>
    </cx:title>
    <cx:plotArea>
      <cx:plotAreaRegion>
        <cx:plotSurface>
          <cx:spPr>
            <a:solidFill>
              <a:srgbClr val="ECF0F1"/>
            </a:solidFill>
          </cx:spPr>
        </cx:plotSurface>
        <cx:series layoutId="regionMap" uniqueId="{98EE6D35-A3B4-4BC2-ABC8-A23E6316C3DB}">
          <cx:tx>
            <cx:txData>
              <cx:f>_xlchart.v5.2</cx:f>
              <cx:v>Average Internet Speed (in MBPS) </cx:v>
            </cx:txData>
          </cx:tx>
          <cx: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cx:spPr>
          <cx:dataLabels>
            <cx:txPr>
              <a:bodyPr spcFirstLastPara="1" vertOverflow="ellipsis" horzOverflow="overflow" wrap="square" lIns="0" tIns="0" rIns="0" bIns="0" anchor="ctr" anchorCtr="1"/>
              <a:lstStyle/>
              <a:p>
                <a:pPr algn="ctr" rtl="0">
                  <a:defRPr sz="1100" b="1">
                    <a:solidFill>
                      <a:schemeClr val="tx1"/>
                    </a:solidFill>
                  </a:defRPr>
                </a:pPr>
                <a:endParaRPr lang="en-US" sz="1100" b="1" i="0" u="none" strike="noStrike" baseline="0">
                  <a:solidFill>
                    <a:schemeClr val="tx1"/>
                  </a:solidFill>
                  <a:latin typeface="Aptos Narrow" panose="02110004020202020204"/>
                </a:endParaRPr>
              </a:p>
            </cx:txPr>
            <cx:visibility seriesName="0" categoryName="0" value="1"/>
          </cx:dataLabels>
          <cx:dataId val="0"/>
          <cx:layoutPr>
            <cx:geography cultureLanguage="en-US" cultureRegion="US" attribution="Powered by Bing">
              <cx:geoCache provider="{E9337A44-BEBE-4D9F-B70C-5C5E7DAFC167}">
                <cx:binary>7Hxpc9w4su1fcfjzoxoAsU5MT8QFWYtUkizJsrx8YaglmTtBEuAC/vqbZcluq9rt9tzpG+854qk7
7JBYIJaDzDx5MuV/3s3/uKsebvsXc1019h93868vM+faf/zyi73LHupbe1Tnd72x5qM7ujP1L+bj
x/zu4Zf7/nbKm/QXgjD95S677d3D/PJf/4S3pQ/m1Nzdutw0l8ND768e7FA5+51n33z04s4MjdsP
T+FNv7580+Tu4f7Fa3frHuzLFw+Ny52/9u3Dry+fffLli18O3/eHuV9UsDw33MPYUB0xFDJBQ4E+
fYUvX1SmSZ8eB0odISxDHiqqPn3Rz3Of39Yw/oeX9WlRt/f3/YO1L57+/sPwZzv5w9PcmujxUCKz
X/ub1582+8vzQ//XPw9+ANs/+MlXuBye1V89gqXXeRPn1vX5ncO/vnzrDfwg/Xwqj4g8+9C/iQgl
R3DQnHDMHk9cPkcEI3HEGKaUIfT4gc9zPyLyAwv6NhZfBj5bPezw/cu/uIz/bwJzazMAxpnm8/n8
DdiII4oxmIsUj0cvDrAhCLDhVCKKP1kT/jz3EzY/tKY/geersYcI/ddPidBN3qd5k99+PqP/HJ8Q
TAMTqUL+hM+B7Qh5xJVETKGn5+DtHj3pIz4/sqJvo/P7yANsbn5ObNaV6fP7vxEaIo+Y2vut8DHO
IPzcdCQ5olKElMinDxxA8wML+jYyXwYeALM+/SmN5tz0LnsR35bG/Y3oUHBslIdI4vDRsann6IA3
O6JchYTgL8+/NpwfXdW3IXo++gCn8/inxOns1trbu2ywD87Zz17mP/dwwA6wIKGg4slMDsxI4COO
gNGFEkLT1wj98Hq+DdHB8AOMzv7rp8TojbvNPp/Sfw4NUOkQkBGcADPbf5EDG8KAjZCEEM4/z/pE
ov9iHd+G5HH1B0i8uf4pkXhthv8Nr0aPaMgxZeJP6Bp4NRIiqjA/SGt+dD3fRub56AOEXv+c/uz8
YXpx8tDbB//57v7nFkPREcQbpFj4yJYPLUbQvcEwyLGfgs4BSj+2pm9j9PXYA4TOT35KG9rvaHtb
t5D29A9/I0jhEZeMYxU+uTUgZl8rBBBxwL44ARy/uL2vA88PL+vPcfpqV4dQbX9KqG4e+to07m8E
iR4hwQj8d4gOOeKgJSgun4gd+zzpU8bz1yv5Ni5ftnCAyM31T4nIWd40D/bv5dT8KITQQkPIOD99
HVA1RY+wgmwHSPVzTH5oLd9G5auhB7icnf+UuByb6e9McwiYCeUgd9JHSA6sRYWghiLEMXp6fkDU
/mo13wblcdQBHsc/J2U+f/itv7Xl34kJxA8i8J44P2JyQJtBgZageRL12YwOPNiPrOjbuPw+8gCb
89XPaSv3t5n57Er+BnZGj0IJShmhT/TrQEzDGOgZU6EAQe3zrI9B5fivFvJtPJ6GHYBx/H+JL/95
zeBLPSW+dberT4WYr8oG33/6aedQIjoY+qye8+wAPp/s8T0UaziXQIG/FHj2L3mW5L/N7Z1pbP5F
8v5q1MOtdb++DCQ/kghSVAxcQQrAF1zc9PDpkSJHUmJgcoqGkgrO4FGzl5t+fQn6EJIhoaAPSUoE
6HQvX9h9zgaPQLiDSwAsnlOCpIIVft7khal8Cus5+P5FM9QXJm+c/fUlTNE+fmq/VCqVYoKFiEDe
Rgnm4f753e0VCPnwYfx/CEZZObCM71Rq+m1f4/mC4abfLt6XS+R6y8A1fTmgpwX81YSCcKQoZkhC
svh8whJ23ZK2ZruQERnjcco3ixrmC17Jbpt6iyGufm8+MI0/bBBCEJyXUqGUBD2fTxV8sYoIuhMm
47eFggnCosDXlo355vtTgX0eTgVQA9ZQkkAC0YOt9dmUpUOJ6a6sJ3abi6LfMrfkreYkxeduWdSN
KAt83idsvvr+1N/YJdwkBrdBQvIm8AGMU1eOHgU93VlS0ONGtpjogDUyrse0qaPvT4bxHzcKNxAr
AmmK5HJvI19fmtlUthZzTneT4TCRaHs06qlAVR6NThSpbsKizU7qebYy8n022ncUmyqL5yoPIkQa
BVrxvwcyxDLJOeipggvQtJ8vqMBZMlRpQndyorBdVXf5BgUl/PE/mwtjMBoMVxguzsGFSosQVZn3
dBfaCZ8PNLD3wtXz1VCQFip739vW/hyfGyeHcrekjAnEwOtDpP76nHPX9gE3A92NSfbREqtWA6mD
v0Dzj1cHJuF7nRn+Bi91ACYaCyocqehuKa3ZFXLMWi15G0R4KYNcf39HeH86h1sKgX4QHlI4QnmA
lExCPC4BDncFycs6DkeYEyeB5brqbftediW7pdyDkeZqvvKZC4/TMQmP/2IZf7zBHEFlhKC9qVJy
eGESgkmS8JLuZunISVg2ONBdouRpG1i4oZ2q61VZkp5rvwwex5+Ml7U234AH6bffX823EKCQtlC1
Rxr6Ap7DXFaKz3XZgvGOyXwFpG3SUzOYHW17tfr3p+I8lAwLCC2Qvz6fam5lb3rRhbucwfEqlYLJ
BtUMrl5yQOL7kz2PLeC+gfXvK38UIsuetBxM1mbOVF3XBieJR8Wig6Bv3zdh1b5fJjlfjI0H7/D9
GfFzF7yfUkiIjRC44TbTcB9Rv7aYtlwoFPqFOkFJn2+obIJK297OV3wK5qvcJoBryJb5IpMFuc5T
MKl6dmYngqadYpnzbrt0EP4+eRBHy9bCBSD5opMsWHCcY/NXh8Q+hdjfTYJB4BfgTeEiKigjgHZw
AH8j54LOdUhPbIXqNVqyZW1yHqxTbMtBG1T7OY2qquhNEpmi9XyF4WWXfR9U9coXFawxqRMAMmGp
u1/C2t3PpISrq7IF7Ip0AXhe1Bd41AxPZapxquhtl8n5quJdv0UFDOsRD4+Fh3GxLUh4PJGie+9G
YXYypeFJX8ABal8W/iLNq6Bf8ZCoG7dkQRFlKunwFlsGr7Yi66e4Vhkvo6rPk1CnQx7yTdV0MIeE
k+Y28xddBym8piMlmR7yFp/bzMANaSlu33sj3LIJkkXxk6kNzc66tO5j3+MmOymrzN2XRdW9F21D
2pMa5/4KS2AtAXHBqJe2TPMP2CuATCwhL0s9ySm56SoDd8+V/LbMCdx2WhB267Gy9xa3+wg9juy2
9iW5a5eEbMdOdFc9d/WGTaKLRJ7SUYP/HZmeFIMIgz3G10HYgZHOUp7SpAyicKZwokme3HhK8k0S
hva+t07GgSH42i0EzkdNibiyNl1uyMjsfaso4FTzSd3gubf3ZZ0Sonno1GqxCQ4j6Xt1M7QePhUk
PjxWSQNvqQuPrxcH50YHZLvHiNpApF63lleh9nXWF9uUzq7SXgi42TTj1Ou68Ys4yfbEJCjEfJF2
tTpFBZmvSuP5vKpQEPCYNRU+7/IObk0ZInYreAmn6YuiddFopG+iESWCn7R7fxmMorMbS8eu2pCZ
wGKgm6OsV72DuMhNBvZnUOrTVb1IfJ4FdQVQstrJKDGym2LhKcQbVyZJpXETwl0ei0DdWJTAa6Ub
ZDwH4XzRYgmxyDlRzmtfQVzWrmEkjNowXc4WUS1phPOa3Y6mY7c8GxTRtulVFTOP+9dpuJDtskyp
iEnK6YdmHJtrueT+rOrGKu7sbLAuggrLNc5Rf5JXZjxOKw/T2Gqeo6lZzBAjm/DrqlrySSMum1IL
VvhziSTa1TQzra5LpaKc2TCaWUAj3yz+ulSIrQaTte1JiXwOzIiXmV6QbS5da2Wji2SoHwzr3UdJ
F3MMqftwrjgbmsjPRTJHQwmeKVoqcFwTans4hMC373hV9nZtmed38yJwbF3TnBqL+nSNoFQ5aTW0
eYwL02xGM5hzVYx4iprFZh/SMGBaGNeeeZ7xTdf4ZIe9E91G2om/b/ParX3TLh94OpmTkNap1/NE
lw9N1ZUrxsgSWTwCjDJhY1SWU/OhaAvh4mbMbFyiXmz2ZNRqMXeWxH1fB6sOOKAegbysa0nc3jEl
ujEouRpKGxw3ZdceF31m154N/iFJzbTKgjy49MrU7/JypFHlG6fbJi910dlci7K/FY6CfeRLECek
zqJh7PG6bg28SAbndM4QuP8wMUaXfZjhmIsqNC4qOyVCpnuog6Rmj3w7nQLTlVsSYs/iJh8nTZME
JqKVSmI6pNmxNK2NoOUwixfjgxWpzfCmLXnXRmNj1wMrfdRk6K4S1rxTVU50rvC8tkESxkMF61CJ
qy8hKi0lAL9kp5x2k25TBIiKlBSnRqjmArmhvaisg0sdcGBktz5x+DwgBZiEtZAxrEzrSLHjcwIE
m4Sz6yLwtu4+7RE4JLMofO3RAlcWuVHd9GKY05UcZoZWZZ7NjXamQ6OuRVItEWGBeZ9gOl9UcxdE
wlf91lkF8VgOLMl1RajZmb7avw3Prd2UuQMXBN4YiFlrwNvOkEdZWwCF4+OCr8eWgukPGeu2dKbF
vGW4bN+3LVzbyIjRWF1WTfWemC4FPpcNk8ahIQZsPrNt/YEVmWw/+nak2o7CJatKOLtqCjo91HLq
0oiVAXureKKO+0zZbWV8mulmTvNBV7jIfrOjuy1aFq4YzdM0Sjy4j3fVEgzB63xpTbiVJJPnY1/k
Ea/ycpVNU7ctAr6svWzaN4tKa6GVoNObkfX1FU/bj6Ra3s2g1bwqHXFb8KuiiojqhxUdWnKfuiy9
X/J8ep0OApADiy9W3VimStNUTIses7z0uqusOOEMGvriearaOrIc/HhUDjadtk7NaEc7488668Ir
vsx5oPu6HLDmgEIRAdlRN0Ezzs1qxq46m/uevlrypXrVYTpc1bnsot5ge0fHoFoZt4S/GcXHnePt
QjRLSM61lWEelVmf6WlYJqXrrgJ3oRIWF7WkJ34af0vaYHo9ubS8xMOAzvo8ZR/KiZdp1FeZgljZ
4Fx3PkzPFfX5WT+z8CRQk+I6G1N7S/Kp3dUiVKsmZ8MOcxQkmjpb9xsMLm8dAJkd4xkTkuicJmJe
Z1UTXvOybbdjEy6v2zxLTpEflkuXIaPVmE7vocW3G1bIWpqfzPk8s0gaFHAtk0mW53xGU7tR0A2y
hSw3OC3EYt6gvCcqCsqhbjQJBCq3A1ye8wki/Ec8dvZsaNtxM0Mg3DWFrau4VVlitcGQXmTg3DYl
TXAetcAsgigdxXiZknEKdVMkrIV7WfXvy9mFuvcVO51zAm40RF65qGvHZopJ3Q9JVDWGnDnhF6a9
6rBcyUpQcIh4ejCED8laBd2yTtuUHlPakVVY8WVrB5Ff2Rp3bwbs7Y2sPF2N81JGSzHnuhScaoqy
DOt5KUQctpPII5ws2T2qHcQhh/wYJcGYVzGFo7oYF8hTmmoRfcRMkr8iSMxvUD8FZyx3YarzsAvX
Mgh7oZu2YevOCjZFhuTKbga4ux+TKpvftjJ0dxNLxP3EHc/XqOWDjWyFWRUVphK9TmRoPi5u6fK4
zxY/bIVrP7JsTi9sUYcQ5aCr9ySc5sxoY5ouzua885qKvo9KiM6vgmoqVgTxxMUqBc6eLn6eNcqM
yDQbqJO7ckBeB1SM7zLuzRCJdCleIZEIpJO2qV41qqqcbsgcXGZBCKhVICDRbd1O1TzczFk3J/Qx
g31SHy8eifmjgnZngFjlafbUTP7l239dmxr+/9Tl/PsP973ov3939rmJ/buf2jyYvYJrDz+0X82X
d8Finla31x+fffMHMfSz8ncgdz72xP/Jwx/VQkFs/Cob+6MWCqLmi9/bMh9L0o966KeRT3qoEEcg
/0F+Fu7FhhCUzy96KLQkckZA0ITiN6Z70fR3PRQdQbcclCWgERjSVy4gl3zSQ6EHFeIz6D8CEihK
FFf/lh4qn2fjDEgBFxg0FyFAcIdVHqSQqadT1RQQ9kHjGnZGNgxcAGntLvQ1jSvq9sFsCPGVBc3A
12mlUT7ncYXwtAU/C2EgSQax7p3qXysJn1FhpW5y6apNpoJUh/mgILjOrFsPvHZlNJcZO7YJmOt6
KIZkiYA8TpC9SVYxTUvG41H5MmZtPW+7hJ40shxG8EJpr9Napm9wA+5cQ9xKIsWLd2qabrCtEg48
xvo3ixsh3Zkqv87HAMWOFsMlEDt8Ao3ceabnxk4rlwTVGC1B0l0x3+WnMAS3cY/EuGlNcJknbWHB
eotp20PKc7ZMvtGzDdHbpe/HHQhi/jppfbj2vc0uiLK802rZ77xqSgt8ieeQORfVmgs2NjqbfP06
zRhbA4tpo8LCY4E6vFM4f2NKw3Qq3XgmqV/LsXJR0CETp6MZIb3MqXtdAtu8SAwOLxOQeGZteE/x
2vgBdlzJYInVkCgtxUhXpB0hlvquimHNZRxaRyNqVL2PD0Inc/h2KMt2i/PsVFBPNnjIXqVyGV1M
PKJVLMaMRJRNVDdVutBTF/RjApkFdyCRLQ7ybrdVU+PeUAv5kW7zBa+CkfQQM31Y6942DPBgw+ki
ydYV6H0OeWc8wF5WZeJuksajEzX1b3zpaaQ8aj70U+FPcNYKXXuZxcAtVyl2LK6KNL2ytAmbGJLy
6kwWdXdeNVkNR13VmdBtbfirdLD8ogyDJA4yMb5P+oRc+s4UK5by+dQv7QPwS+DzkAfyVdLl6cUy
FfZkVpWGDD+MQsikTyteJsCqeBIPTZBc4tC9S61pIgbZ13HG+yTdTQ5V4+UMNYPutk9T+wFN3fAx
hyTjktct2xVpF74uOS1iCM/DKbO245Ebaziyqa37s4GgD9NMh/OgJUCoJ/QAsu0HMU3GRjVrumMQ
JYHZ5SF65SuBbVz3Xr6XaTZcA6czUTEm1Yp3STVESz0M9RbRgRXrhJumghA8TR+ydDEoxh7UhZUN
gOfrsuixXgDlFQO9dpU3dkSXo1mqqEQZOm33iUE0Y59cji25mBh+D4WD96gfdI+A2/QC1e1W8bwF
RiSyrt+MFm4MSgl/yxJ5nSbtAyJD4nUhqnbVw+8sbFk1jvJVVtFWN0rmUZFxsk3B51zBG1ItQpud
2y7fSa6m4xk3NbARTjNI+lI7kTMg5Eu6kcncp9EA2lmdB+1w1TsvYEl2XQRDcjEOjdF9V0I2N4Zj
bEc+rwekNp6G2XFZLmN3SRYi6+2Q4FoBvffFDrL6olzlFiKonpFhZ5aFyUqEJjvO6gSvutZNmosg
iHHL5Vva155pt+waJIJtCnnQppRVqhNOgjVL/KgV8tO6oUWu07kq3wE/9HFddNNO5mJNG1frNvF4
0NLSEtKxgl1mpi5XLS9HzaesjuRY0qjo6u6kKMMlNsPQbkZqoZyA6/RsGtkEJ1Asy3VXIXbMnOzP
ZuSCmymNs6HaDahM47qybaXz1MgVSAb1umh33M/vSDLz2PSWHM9LsqwYfGpXMWTOcBV2uWY0mHvd
mY6gmA0sFMclHyV4qr67DFUfXksms4jzVsYZw9kU+XbxmyRIjIhUVZbvl0INms5i2jGKCw0O4kNV
ygKo8ZDNmgnVr/dlFKBu4znIFP7jkC0jPBVinbGUVlrk7bCZEyDxCe8gTc1UqTPe4NgQNBwnta8i
Y5L+NK+GDxBY+Hpy1bhtlm4CK01MsGjXThOP6jp3d1DuCKsVdDPbU1onaj2m+HUquNyGQY12ORJt
1Dey2FQiqHW29FvbSqQxBNhVI4yPcBOMW9I36Bh5gaNEldkxn+i8gnwZ7bibEOTtvVzbFpHTARLn
3dyIfDWT6irhi4+ETcVmaiGT1CDAfhxyPxiQoCTVdQu+dwLhIIau9+64U7hedJGWXYzm8KLHJgrM
THzEwETPsjbNz3M0y6isoBLhl1LFjOT4xLsuWU9Dt5vruluhZbb3zPRzlALlWxVV1Z66EBjuMtDs
uF/Ub1K5+jhl/X2n0mE1lNNvdU0hrwD9bjUMEG5wD/l9b9PtMFVhXCeQJOLkytkmPA9r0mg5jOxy
onm97gN7nvriChS34HLKiosZzvUkmRkBa6zOU1Ev65mXCkIjJFAIJEXL12yxfUxLlTaajYOLejr7
N7T0HrIxONerbshTfrIUzg9n3qLUrAhEzl6TfA5BFkPhPs+lk/FoxRu5oFWWqHZ5XedIBe8mS2Yf
50LIJQbZiURoLBux6LnEVUVXwmHsty3LXzPR8yJexgWojC0rej6WuIdrxXCoSVEUBrL8vn7wBs9M
o2HpXhFDgixui355G7bD/LY2aD4RrsC7oWvspvPBBGIgFAE5SKHleIJ4OYHrrxo4gzFzW1+jZYVr
8JiyDPitL2QRA58rTkakhlCDylVfyWXIT2pU2zgM2Qpaiqe1JzK978gQbKyb2IX1sltPssPrsHdF
A/oluNeyC+GASg9KYIbS9Ib6pI1FUTvdt6AmaQVS+jbvFzrGaGGDnsyAJw3RbZm0oW2469uhzlaO
9C22mvhBSQ2RC62ZhdimpYfSACgrQ64XUJtPIKFo0niRdhyOUeaHXZWVwXHQdRyIX4KGUiPoSnuF
WcBdBCl4l69L1qmVkWrp4ywceFymHXpvQePA8Vyg4lJmfXdVqGKyWnGfRwYrtrF5Mq97qC9vF5zN
o+7KeUQa+V6AktZ797aCAnecWIVP60LWDDSa2b9bwpyuuWWb0CVDp/PFDV7LBrLWrsyTyJpw3KZ5
MI06yG26CuegPqee7xWkQHRVVHMij2lO0dskyYoobVGSRekQynLdetqMcF0civLeuXfgvBeonVi+
Mwr/RgVI614wVGtANOl0BfLmrFVfZqvJDYXX/cBI5Bxf2ojyrH7VdFbiCNTPYeVYdtayqV2rqXan
0yDYMQcBCGQ0qFxd2qofypUFGXpDG96vFIB2IgfbjXHVUH8/JzL7oIBzvyGei11Cs4ZHuR/FqQVZ
lcdJCgWOsxqxMCJevHN1aN/6BGRznjK6rgLQignIYsc98Usf2aLg78OWjlNkZdtv81CAH6iIOqsK
7x9IkKSR63J8C/40P8mnAK98R/m7cSwtCDk9CGrroMszGTsEokvq6h7kU5BzBmxAjuJTo40X5aqk
udqouR5WbB7H3SLG6dyDCnRlQczURTPNUcFKok3ZZre+m+ZOE2MoCNLGgfKG237VkdFFtQFJIExc
twpAvl2TEYl7AhnwKRQnl3PZLe3rdoLydQT+vPhoHLbXqkHVuxSjKgU5vFAnIJ4lJ7mo0Alqk24t
4L7uUJfyy3BxUwQqszkmC4IJFhZoLGi78o3AwP0RB/03GUDRc1kJrrlu1hNv2aaoguZ4RsDFW1VN
1yAchusA9SvXdsWrPAXtqSjq8bwQguzASYwxGCAYixgJEBbwfGHZ51EWdO2qrAu+8hTXJgIRudOm
tmDrPS12bQ4cpaoRNIkoV91lJWfLVlTZtMq7gX8cnZnueT1nMmorNZ+NhMzheuqpWX9Kav9//v/N
BravsvgQfq/je/n/9cN8a591Tz2OeMr7P7V6KhIqrLjYNzRBn8FTHxRGHLJ7QgS0b0D6L/fV+Kc+
qJBDsxOHR4RDMRmye/gtq6e8n7AjGTLI16F19Kmx6rPA8UzFgeavp++/bkuCNuF9OfqrOizGhEHn
iNr330GxE+Z6XjsGPhmMnTHoeOpI/3YE2QmqP/5OArk5h2y2g5oEBIy5NuWVmOSZte34jo9F9xpy
5Ncd6u3JABUV3UmxnFEzBMc+CXkC9ZciuxiaLrgdhAB1kxu4w1Qme5GLkdReNIL58JLSvCS1DqD4
Jo6BAkgCauuCzBtbQUAEYlkuJty0pWvbM/BTSBQQ7qcFBLNSja6mOknKgq6XJYW0XbdT33dvKtk4
NmvR1BU+ydTMie5IotxKZIhakGEplFAdhYouAQ9U7muyQMG8WuV1seATIIQEwmtqOyhcGGxY5Ggy
y40kwrPjITcMJRCIodHpOvFBAKIEFuUIOp9h5rZoEnmfQqQR8ULsbLtVnxk08khakaPX89IXbexg
CVBcmA3ZSRQuNhq4ynZJgZcxmpxgdj2iohhXiym8jKUptnUKhdwZ/u2GWoOI7EDDnyUUxiR770dG
tQzTbJvb/HUKXBDAGoqzjjRmW5DppjB5uCncVGjIhNJtOaXZors6zd5CLJnSlR/zYyHnM0P7XTYN
w1ub1k00VPYiBL8CTU2javWY8js3JxOEtwm4P7MR6VRUztCmMpc38+ga0H1xcQJNU7/BPzTRr8Kk
HF4vEL50swT1ZoAjDULI2RiUZTdQwBFrSZoN9AhejUt+wyvy0VS52y32v9k7s+7IdSNb/yJ6keD8
2BxyUmpWlarqhUs1gQQ4ACAIgPj1d+exj932Xbdv+92Pdh2lUikiELH3t0MLTDxOH3wv83ra9FeU
wstklvnE9YCGZ4gb5ycYlLvI7oQIo4OS/qmnEwwvwj+LMBiaTQULSqr5lQ1zdj9lvnuy5QJPIHTo
k7YNUkbcNXzf+BFe/B8zyiNhMQQnY9BTR90I5cj0V8BV6r7QlrR5moTnfBmGw+wgcW8B7Wu/yuL7
sBFznEw6fC+gul6c2vdWyDR4oegjIKHTXx3MuMc00K+pHtzrjLnmGIoJjugghtPMswwkQJhV8bLj
1pnT7aCLNDmjLvQHBWH/QKc0qdM+KI8mg5ie8umsQZg0HWpHxYEZzHXnhu9LnCy1gUffUqpguN/6
y2WBGLPO+jZdwENIQzO2UQAfsSDuLUrnsFIj/xyM3dn72VbTKmSV6uA93buwirljl16msBZEMvyO
t1R923xes0hXjFtMtKuRUOi3PeTXyfDtLss0TvymCtnEiQ9wCWdzXBmwoGm1YI6ijWIGw9I+ueBE
eLi97OAg89cRvMlTFhL4FxLT04MoSHaIl6FoO0jeax2NG3tboRnWOoygDAxsIZd5o2qq91jju+HB
4kBVrP6xjTKuw86YJ2Z5VBuDx4KWZoyqwrn9pxQoqi2F5nXZ9DCfiLa7LY8aj5argz0LXS3xbnm1
rFb/jqS0GO1tJw6Z27b+987WEmfNltLDmJDCPpAiXdHi4mkhVZ+AYIkM5s1+LqejHQpR9zKAVkIW
/GTcgjNh2THvF1QJZ0kNQCBo09hsVSw8rUIh47Yr/XiUFF4kKeDDQan9jEHZPYws+MCReid+wCg6
8qWdpL7oQCYPLCS8USM80jkYfnZroZqBiOHzpNi4VOhThnuidgiC0+bjxkdT9CSn7pMcCS8qwKPl
VSTjcolKfUAPaK4G2tELsK3glSdr/kGmdGgoLyUkp1KxCs4wjrF1hLTdMt+whD28z7p9gZyq14Zq
rR9GcC0tXmc+LEG4H9Xt1MJlyp4nb+JDJ+HqBuAsjvlonsY+GdphX08WTC6pOsA1uEt8Ue1dNj/b
eP8KJiw9JWYqfyiyPucu6S36c3T4caG/ZDubqiEMIafF5pyAZWhgJMZxpSOhf3dLkrQs0MHdDtoX
uuoWNXPoyxZm7lDttKCHLolQD4r9YYDD9uiD0NzvQ8mgFW55M8yOQPJlOFo5QQOfEAo1O4FbY0lR
l4xtaFHVcQ8gSsM3ui83VC0fY84tSYknUbv5rHmSQu5R0Hcj+7IV6JZ5sfB2SSZe4WcrT9K5Y7BL
mLyhAesUubCC6D/92AUE0zCIdb1FUKXECtWATcvYQSQn6G8HVjYYWfZGwrQHCyHPZVDSSgXit5P5
p2nIl9aXdjuEqxhqu5e+DpJkafvZ9QfIh+4ScPnTcH8/Yoy6i9w4Vt6msh5JPj8SdCZXDFtLO4c7
O9hBh2cPAgvWY15WUsCBM/M81AXlYxUU+Jk3EEoVmTjqncy+eQ8Tay7yqO25/kYWzu9S0XVVtEN/
62K7V2Jn0RXPAECaIelry/nvLRvLgwOFQQVelfsStYztaXcP4bsjgGRQ+iErfJ8EuI5w1Oqp46Sr
exOtDzYpDC53AqwppF+XKP0tSvkr0cN4GFM0DMYl7zAr+3riq/w8FngprxJVYdDXv9WWEGjyjDcJ
imiVr7Z/WtKRPZdkEeewIP5quMbHkPNv29SFDYrpgqo9mPdiX3Bh6Ph1GDJAQtRtFXMF6no2jN/J
rEk9kX05b8mUHZjJMe6VwXxYmZ+u4DFhQ+w+qU28f197zPmGZDloK7wH23PehqUsPq8h8dC31wUf
qAcgX/XAHGZ8YAJv32jOvuLYc32v7Vy8yTzF18KceIUxe85GZ4E6lvR5W0f7lOqOfc1Z9ppmGbzP
kT4kZFlP8VZQqMA9E226dvig+6FPPpUpt2B6MlXtumgTD+WzhmkKIX0zdm+8nPZqyEwZ1XQhP9PZ
zWmz4/dcEREtjyby+gSpKj/lLi2+Wb6GX7fQ/WCi048+jOEYGdObE/iq+DGdMtNG8H1nVFahgez1
e10SU/ZVB8fEiXB6kUWZvlggNmGNqhmgxQBSX6fJOv5eFfIEt4NK8TsFaXoT31R2FCJKcWTgWywn
tZZ+qzeCa36nMcz3Hb6qDq8gy9mXFR7b95nKy2j7zjds6WktafxzhMbwOmcD+RFRFky1x/IKDk1h
c2dhFwXlgfdsa1y6ux/hWMBbX7b11Vslzx2K570BCHYs5+zJZ/MdtFOdNwbXgTtFgWd4nDOT/+wg
odU9WfPHUqfDeypUch9tQ9qoyY5tOsSiFovwY6NkPoF2iJcXFSeYHHd8FA+Ok6KHIgP7CDb0BskG
uOHUGLfuj3MxjEcaKTgEudWHCHhyK/C+joBagiNLWTcdZT4O76hm/B1X3PZltC585Ux3wCPz4Rym
Fh1vJ7OLnE3AqiFYO+gfmR0/UzKw/c4E+wTTq1eXMiA4EH1oIXAPY3khUpm6n1zEK5fMArwMDVsA
YOpZe6ffQ8hgP1NhzalYl/JuYUw/JrRXn5Y4VWDM1oXpJpZQkab0Rmb30n8ulZ4WhvFhtW8UmH5Z
Y07aysaXIr6ZYGI3LSQtze9gtgIcK7ox+2S7wmdfKJhu35jC4WYttqTEQVROVwAMgQslPMkespj3
X01uswDNyvY6+hn889rPwf04u+FrB3/moLoCXujk3XjetjlsIO/RokoSHhTVOtnpPewcfBT8pycI
te6ipvIVUs+MJkxu3+dpXm4GFTtk2tM7NaMlHWcjdaUnM71BZe9BVuTkaIuJX9myysM+6b5ZKBQr
EfhxrVIl0oONZvs8JqlSTeq7qWIGZI9h0XadZg9RnrD5tOXAEYiIu/2lAPe4PDrauxS8gQslGNUC
QWs0C5Poyx2a9bYROL0/0W4OxUZBXkibvC6aZhwg7bYvRa7WEyv7qUTcYTf+bnRJUGcri9rRi1nB
YexRR10xwpZcs/ik+yx9J8UwbXAgqchPCtRL9B3x4a4JA9bR62DMICs8wgosREFtk5HNiJoHuUX1
0Wq5Gh2I0wbh78VJjVkgksHRp1nfGL0HF2mVOCs8k82m4+EqWAoQmGz570ktyY9w5omvFAQ8dnST
eFt52Q1fYXxv9ZSU9l7jPMKW8T5tsrUofi2FoKdsm27Cj+6DWg4q/+yZDdshQ3Vuy3XkByQR/EeI
xvrO7uImRI4PSy7C44KXvXgi9bMAU/uld8n0Ym2UXrwYbE2mRDRpH0HXjvopbilfNdjQDt2B5OvR
gZGplWLLA7gYBAPwHj+BM5xa7VxZ+zliLcVdh+Zc7vAblG63MT8HYjbNgsH9RdOhPCgeko8UBNpp
4kpUHUdlAvlbwGRZ+uNA4ZCpJS2u8TBl+PWuvf0+loE5gnd7jF1f/gyBpRi8k0rpkNSCkP0ko1Gi
ldrolWOkdRViIbbFcyMPonRpK3eO+QYPJWwUNkD87CAulyOu8c4F/BscL1EtZT6dAtDQTWBxk8wW
Wn5VgCisgzDYYRbH8WHpkgkuYR486tjvL8L2p81xMF8cKGhK5xhuvwXlNe59/0uILLkHpQjiR0h6
gguEs7ui8G+C1fvYj7VXgMMV1waXjt2fex2WD8ZR3rJ5yE48G9KWjCEK5roslyGMnopigtq7AoWt
N0E/1nxmzbzsmqOxk8UDD6Sq3RTyNhrB1LCxjL/SMsqr2K7AD6ehn74GYv0q4xz2lSmOSeqisFqE
+Rk6XKzFEPrzPikQfxg8B+AKegN8QMd65zHUh5xmTebHD+Qf+9bgt1WR2X2BOXXX06LZvfw5s/HL
ykBgj2QLl3YD+bRULo7brAgJvOKyu7ABcTW+uq6aaJjV6JmjsA5mx8ZWEdx5NHHyumRsxtOy5qDT
eF4TlQzXkVL+BP0hDJstcVvRGhGah1Wj32YhVEp5k39csYpzKeXYemv8ibIi/GVnjGhMM3OaEr01
NpDkmekcioBQP3Tv9CWfBlaFBc8v0LWavt/FuRAZWEkS8AtsEPPseU8PdJDfMa+hFdvnYW8Sz6bz
vAnDQaKt+7vRINWg99zH8dR9Riv1NsCCqHOl87s+i20tnUfjCAe3s16uVb8FCkDu9q2M5L2N9rjq
Gfk8Byh5zCTJQWSqqG0aF++9i6YqlmpuyrAwNRzs9M0vPK1Sz8ndvPfXIZi/apGvp33tX1UW/QZg
jP5vR3c0UzG/9gv5CsJ2PMdmTn6uKdDgkKq4EcH02SGu8VuIKQDzBkBdIytm0Xw7sQEPy+AB7Tqk
1UIZIjai6L4ZGCqmgkCuIFDs9kVGkV+qseg6yE7aWpg0QBDR/E8RZhyXHkHilC/IP6bAg+N0yW5o
QA6nWfUaviHOQBZydSEzWkk/UIdRp2vwqxL5PWepeDRZgsY64sFSEc8HwCLEj3NrijFa2y3sxQNC
kwWMH4F/4nPxm1DykrAFxaMY+kspQn7ZU1yuUWx/dFxsoAgDTluXbUmVw5Vq0tFd/JBzHPXos8KV
VI+RFtVGblqgmGm9l1teIdEHQDrV6PKGKD0SuKA1XQlKQuaUsSe2gK4z8hvglIvDA1+PgwjPnAb3
Xbmi1xlT2TKZX0Rk9MHGPG9zno0XkUL+k2W41gBxZI3OlNRdIq+KmueSreAHBzzx3Z62pZufZSLm
BsJMfp4TOBF5oPsjZhcIiH4KHi1J3ocoWe9AC4nGqmwAbhfPxz4UtB2WKTo5huFMpdt6njUNoVxo
GIs8/SlsVz5vQQgZrrMQ+pf9G0e4pSYazBDcj6FiOv4Omjx6tUXKm8ztVtVsW+yvdM3NK2ofQhFZ
qmpgQttFSYhRYcSAQAbJ/QjcGzrLMJBWhZyD0JjvEz2udefjZGsAp5Zbm9MIfC9D1vUicT9GpV8O
fNjFx4pAz9e0SOKp4YH3PzjpwdzD0gw+lmxSj3k4BieGC09VCNQ7uJlMXXOOESkvC4ZA40AvKkjg
rE37/h19Fo4WFdPHwKLicbFxd+91v/0Ihuw3VdEugL4H60VChn72LunqdMjtXIshtJ8Kl25PhPSJ
f1AOyHll82k5QgWd+qrUsWiQH80O0TJEeYNEhmsEGWZVD34Xh0EgSJOEXfAQDQpUforL4DR05m2n
6Sd0COmrBFV/oHLXJ5yDvc3UGmG4Kj7bIkOF72fySsNR1GsfPxbR2n1MDhAsgx9eYz0aAd6GIT24
swRNzXWcIa1KbXrkHkrtDjRTSw20OtsuyYz6U2U6FOxIO+tuItEI9BhaGHqaCRzEjOEG7Z1dRFrn
2aI+K5HIOymLAlQESPiw2kJofLtgXb2jLnzNFlfGD3ZIwzeDF8iaQm4e3BayLTjGHUQjCNR9RREn
u483sV1zPD3IxAirj1bOw9ULIVSDC6ustNooOqbd6ioi+mYZ61snhCrzdeJZ/i1RfYGjvTF9EgWw
VRk4iaa1QJCsojdGDvSge003oSE+hVxkFcawAr8JRFZGstKfaU8ZbWbaUddAU9tfYI47Xsc4aK2X
DgGQfMXg7QiuaLSgk2hMLH5btNctLILnPUBbj9BWeEG+QAP52+yRDp18dtSQd8bQgTfATCbM62n0
tMoFYDYiLMXLigAJOl5FlydQ7+Y9SIbtEvcSuszky+Je7YF+5yIIH8LJ7kciiqjE8LrGzytS6y8l
oHTgalFX3gVBT77vYOQvei3MKyExxFBHNpzSZUZZraa0mAl6xr6/QQcMh9ImuLE2C1WwilVJ2QMU
fo37BPjMeMcisqcHndkUv+kJcKRWlDWOr0+ergkDnSdAQUOGegt9Ti8Io/J6RsD2N2j5CBmFFY2a
z5CigtKhHvqyHGhF2SDftyxdDjbArUuXBJcZHqkGw87QhnRlRyDtAFsgjd6pzuVnY0PdIhzFryKa
ZwCceRReF7/YT+AKtEOVHaamD2xSAybsUE508CwQS3lId1ucpj6i7Wq8ONo1TOpYcDwlgbL6vhin
+AvUW3CdixVvIfq7q1qkPWwa3T/kzBwqTdAjyMpMXZQUHDy8DPjs63S/6fJHYKIIgN/UnbI+1U2w
++i+NDgaMSM9nM34vPRR8TS7zJ3tnppLFuTgGLIOqDdoDDw0ZQ46SavL2pfbfaByfgVN9h2hwqg1
yF0eWLF/UATCapJwTAYFg6wYgSpqpNo/BzBVD7mK+lYQH7cBHvRjb5B2MWonZ+SBodksfN4JhDYP
mMEhRwNIt9Lpgl429OrrMCaghnTvT7tyGUJ30bo9FfkCHTgCnN0gpWXGF5f2Q7P3uGzgcS9gwLzh
VwAIjU1h30BjjdBpLP0h4oWvysU/pNzj/w+75zV2+6PVM3Rgwz+XK/kSUxTrNJjbIQEqBqXko5yR
TSkpDA+LBH6zBmPYzHmwHEjEk5NNpmNC2YsvBEYFJHDrcgt9Ral/jPshrkYm38Uq2VNGt1MXkBMa
K3004Ee+BQ42CImDLzc0GclMdMhOBsNRGFzUrtg+ppLJZ+BIz9tCxr0KlwJXe3QbBPsxeCzicq+7
kPRnOQOXQkjjZxLk2/1CZlUp1P9qgA0GoadMvgB32YDzuqsRwp3VKN//Y1v/t5Xs/+8VHnF4w8j/
nrr/v7D1t1+3RVTrr1//bF3/8VV/rvDAHskUODisZuR0/25bl+Ff4iiNoRBg60AM1xoh83/Y1hmW
6GTY3XHbTB3dcsh/s63j5C9YQpWVJRqEFE8Alif8G7Y11pD+s2udFLAGwcsnYRRn2HHxr4H6fFdx
0Nt0PgcAUiJgk3lH4Zh2gYV+oCdY7lWU5cReNZzd+jY9N9Hq4mNOu/wkp2SArtitU0vSHIkukC1v
jmPKy4ZwbiiF7FdbFbcT+OEv2OcgZbPHafwBoC06ExGO9VYiOyJ7Ct4MUZFtFvps4pUeU6wYabKC
S7RpHCYhyKTjbuAwIwydLJUv3XpIezkB1y2gcLN9+ZIIWXzMap3OyK75Qzhkh23N8ybUJqwNG+hj
BOHpNO/D+Eb62GCKXBMNop5ky5c+Qu9NTOAvSOqUfQMuN/veFbnASZ3EKKsJoPL9ApLqE2S94uqY
D182q0gzj/kz/JDyPmSxbIqJ0m9jv6Lpirk5+RzZJT7IrupYqODgdPPJDgnAn3h/XsSSn9VM5kMW
IOzlNxM9zrcgywxcf3H8KSi6oMo7wiH226IdwVHDHJDpK5DiubUyCevQJ8m1ZG49b6sPUIBgvCe8
Dy7jOoOHIdKDjGEeqWwwqzLr876VRQAJ0trtLRoEIPcoza8UutwxEdF0IDJO8aqrfxaGrPf5gDQW
38gbdgy4Hzvfsna16MC6nK8YPTu80J4Bzd8W1wTC7S/JwPLvG7pgMe/f0Lesx0jE7LQZSo4xKbvP
phiWA2Nd9hN5eb7fw9Jm9zSFiTMWwqG5ccCrixvmAyqqQHJOqYPM0EPuIXTXAtDDDfAHcY5s8/dC
zfY3hSVz8OEM3lN209zi3CTPyW7X8boz8anfIob2eNk/Atw+SGP4NLwPFm7uigCj/zKF+CUPZS9a
QYsVI1wHWNdzwJlhNj/GkVnuRxt96l0gdBXEiTwV28Kf3SKDSzHH5hHRrRJBvCEDwDQmaGmGKJjy
0xaAXz2oFbcV3PKEI4+1OXvJBn9gMyT5yjsVH/pEFDWJJEBNuZDptG/gB2/uBBg7xLMx75ENepb1
0BGYBA6xRnC9HfHTUxCkpzIFXdGj+btXGfnAwoS8u8p4dP2diMb3DPrby7SkII4RJTmvw5Z05Djq
mPG8MogelD/Ay8qhpd3uHz3U7qd1A+79o5zjzl+TeYPzpLdPqbhBtsXWI7848vwN0RDWIsyI5mOc
y4tdcrAnZQfepRF9Jl4EQEFmb1QdPQm0ZOoTGWF1o/sM+Qwpds7yJb/MaB7XoJlSRsJHFEp87pMR
Hhw+rAbVLrQLv4JfACoaioA+yD2f8ndsOoEkDr5vj55nB3bwJ0NYE5OQL+FXlVUfJUHShtvyiicX
FnRRToiLlsh4ICpjMPdWoS7Z9xwta3AqZhMiNL2M2E6wFNvGG7MpoH6d67fk3tKp/DxBo/zgN80f
auMe0XMEMcxUMxC7p1nnyU+g8pofwYkbccp3mSNhEQxwN3TUdcg0phzf0o8UPcbkwugNifNlQoBt
pNB1rBiOqH34jn+NsCP8MvXNRAcGw38o5+UxL3YCWWLfZB/rOz7aNASPYIKK5i6nbQh48dHdqH2Y
5/ifyFWwSqX4jOss6va30RbkDi7FDYODzxLezGd7ZFjndD+XiTzzAexo4tIOURFkk6DfxPlxi0h/
nHOocEuv+NNMxqv/Q6xTUbpcXZ+CsREiPyxWJ3013vbEg24ZhETiA+FTzTJygdR9RJfFbmeVoX7R
bGgxXsTBIbzxO8g4sDaDEBzVsYVanAXz/JD32/JSmDx70Jk0X+GrkL0icXm3xwUaLamihruEwnbR
fq283yCaTqvff8hdfscdpWA+JADc8y6oBzOERUVCGb5SH3UHF7LiU5rQFaRU0OFymMfzSPP1cdFF
AKoTSRozh90PT7L0ae9gWeQZPaN0dqcJL/UFHf/QrFNZfDWRdEulYZqdWCrdXe5vwFZKiopKxxuB
QeZbjzj4JZWLeUioO+hghrYKvpPVGkqXgNMQw07fO/+UwfuGr1seV0zFnzxy9ec9M9sxUrM/pnBA
ZMUiiwD/GgBpGpf+MU/KlDXKkeJuiFHiSxKnjVDxXFl8/1eHJTEVQSKpoqTrn8RObW18z9uElfSY
4Qc4wP820FFt0qM0+uRLDPnupqiW4sMgXn+PpHn0y2xkOWD9VNzyqItO2Srj98Dh+5FyoQ3QZ3pg
g0BQZdbjA0d+5/OGc3i/KVjJaRqVVxjWc+37mV05gptHGffmAeEsxNPImJ1Gb77JAtIp9jf0792y
hQ9dF2FXBeJc6AQmP1ZbsYT1MsXhw+p6QCsDTv5Tir0Tx5Jk6qPIZ5ioGVJZzutnLBpzU5VMRXae
yrV85lnv7yLGl+92pRKWyoQc+w44D8z3e6dA/CIuAxlsRo4rCPa4xVoPVYBjD764uQtbjMICcdch
vIsB+oy321/eVkmIJol6jJ3IU38KyIa5ElHsda2S3LVlYBfAPC4ra5mG4BfK4raxgRJEfLG3IM+g
ZmURaDmc+8LHWG21KUTFELFNP8htDQiIDGwxyUOGZRZKceTMZpPtff4aK1ZQXHl0QtwUCM8uhuf/
9Pf/m/6exGH8P/b3D7/Mxz/+rsYtj/q3L/lbcw8f6S8g9DFjYoHYH7HTvzf4EcEqnj8X8mGTaZj/
sW0+SbH+KwId+mdHn+KfUoiuIdp9gE5IjP4bHX1E/qWjxzZU8LFgXss4Bvqa/+sOo14nzsxKxPd5
t+afd5uk5z2OAgVFHoPtjsgfnmSxXDAVyAjxdQk2BlpKa7NiPG5YwXJNkUsgX1L0QDDmRtXfSYeC
VRMhYX1uKtk/xyYxXzTHXh1Nd1/1YieuLk2BjKXQMJxd1s/mCE0netmAW3ydTWcevSrRFhbBbDdM
8ApJE2Bq9jBMCT/lik0IqXFAXLnY9TEr8RYhLDKoXxQCDZKAe+yekn1Hgql3haWnMok8kAHOwu8M
lOVejTvnP2UeSDDjKJ3ocCf32HXLSiuQYPjZJ4EVPWBKBp6fl10l/uCjzYkjgnj413hNBbkA4MB+
oT6V+5kGMyrthP1J6PPwBrGspwODWS1ymuJnUojluUwYffGMm0c5YicHonu6QSCtwAqJdTFHZlV+
mhBjlTVLFk9Pg9Pu1kfxuQkSGOcC7Dr5BCZX5x6ieBcuWp66KB2249QRiru4SLGxBxoL/K8Q8Y8J
2aoaRoJ7iKGqz1GtdxOcE+jQSJIIKns4GBnkxhkBvWLEaq53pNqSNX5BtIdXCtv3wQCkkHbdA5cm
Kbt2GgdVVmKB1nUQhYAytSF1nWFnRtCz7rGL9uBgQA2ttk6xZoLgw9ywYwNhicBgTJIhWrlTuNqo
uyOqHztAVKu5PTi5P3nHUn8IkPyFZoM1RaO5aL1tInyI9olpeJJqXUEhTxW3BIsWvtCuJ8R/dQMW
tqif2ko9TRXEHD92/yl4f4Xt/z8cPkb9/7He/Zca/DJ//Hc1469f8me9C/EX5pIwRSgpB6CPJXz/
qHcohUWU4O+ZoBm+bSoFIf+noJGjxuGrigLrZ2//gvfwZ/mL8Gc4AAfh5YCElljJ9m9UP1S5f9Yz
QqgieF+3FAC2EaIs/0v8fpI5PGie2StmWyynwcYPq5Erw0MPcP4OfnJBJkRFsSNsOwKYRyLkXUNv
iVrsSZrWN1AG2qsqwh5w0o6KKWFZnZtZiuIVVBokYECE8MCjrRZIIM+HJLbwr+e53MGSWxv0NSRL
Mpmz2sZpNWhT9TbjnM/jzjAZmAETZlmIGUWWucsSTCY8w/rY73esDXqDgiAusFm/BLfyYReT0zp0
ZYOWT1zZhL0cE3NosVNEfd56TJJzPWAbDszO6baZrVCmbG0M3rYZlaegVsfMvXiO5WShICCOsOPV
3A9h36mW9Bp1WIEuhWQaw705zhiPjs6osWjSchnO2URl/lCW2iDQtofo4YIA+5CyW33Wf5TqABUG
bBLqt7hVcvZHUccuPLww4rwo9tOt7pO0gwN8uwvsH9fCcrshehx8KPF/XBzr7Q5Zb7cJGmrcK7cb
pvNLntXouiBnuqVwHIHQFD9o8sfd1EF1vSJjPR5X9IItZjvTYukO7rM1Ule7LNg/gBSrbZHUAPU0
cOBX2e06LNnursCVsapkYInUh35F+rIyeNSBP4PBfgbW02IX3DwhEzd2dbakDtt4YMpXA7JeQY2b
xeSI7ydqacINzbbIzHSSSwc3j5qtOBBrLTJsYF2xjc1QhBJ1iA+aCsjyWKxgf+fdEH74NKJI+uE0
Hnj3f9g7k+W4kSyLfhHaMDqAbcwRnGeRGxhFSYBjhmNy4Ov7gMoqk6hsqbLXtUnLTIlEBCZ//t69
50q1NbGmvRZQNu1dqOjF0E+p76ySxZdJTv6pMlOxiswBtSZb4e6QD0lsbmzlX7E+qU3P3HExSACb
q5Pc4qaxtDUgYc/RPqGk3Ca+Cq+019R71lykDI0b4+hgtLFC257dQX2DUeNhhv5ipkZ1RN1oH7vC
B8/k+dELT4Niy5ta4eeoGBgaTW03ZPu4a+x7yIH9ccTHtrPzAVNKWEbtXeAObyb7us0w0fiPAsV4
iCdAHhH6OMjNYz2E65ge6HkhcvcEwQJ7Ph4fTPGJiFYe+0Jr4w0sNq1dGM6mjZp7z83VJeC/+XPe
FcAFmnh6RGJdHKI54hE0DBO1MfIuB/WF0V5NlS4vGy9NR9BVKd5ye8DR6LUZ1OAkqh5EjGBsNMLy
WDITeuqavGDc2EX5beYih2znjGYoBL+uCrgP/QiggOdm5g1Nx349ddoJd1Xp2iNvloi1r64xbfde
V1+pxTjNDC7/WlrZhFOZmEzNKA3d7BSuyqh7S03pbpyJbZ0XSPeAGCZcV679itLmCfkD3js4UHoT
Dravsg39OK4j1UWT1L24HgGDxRwWsEc/qf/Saf6jVdHGrsVC9n+3+a+yHFh78dO6+NcP/bUwEg/h
oioj1YPlB8dx+KNBzWH5E8L3fNu0lznAzwsjXQkfevePiyIhLlA4vUBwkOXn/tGqyP7651XRMiGE
ouMMaeXalvMLNlcNWcAM0GpObmdoXCX5rktQesD6DLihy4QeGAMwIG9tMntb4J+98ZB0XvolZ6cB
sEbDXmWtKYpQRnuoaI6678GiAPdEPH+NP0W9DEr6zx56wBPTzvwMn5S9CQ14oI0pZXGydZTtsLcP
G5aT8jytGxByZVJXFzg463lfTNY+psm5jufErnfFMKrweZB0fg6BiXtKdc2Ea3ZEXXU9MWzY4CJK
zlO76tytIxDQr8O4DuTr0BnJp15BmD5UqqJ0rts+E+edZyZdvAN5ygAW3gNIu1WBtcQZLzFOiAAb
VYME87JqW75uolvlr/1ySt3o0KFZUHpbwL8zilPpuV6Qv/vgQLFkvV9El4jaI3qMUc75RMo80XBs
oKmG5girZYCDwAvHMt/GMW/HeZsl0oODkNH9pNIo0yrKMGip2ZhWogfQQsfVRiKtu9ClD5AEc+Py
Lkxrd17DlohLEAwxeg10cgEalzn9MkfTBD113YFa9DZDXEm0Q7Y7xHs705G69IvOOJpjqa7pgUWM
TgxnNQ4o3lN0A7S4EDDGbH3ucNqjrHNappvDIo21aDbuRFhPr34N8GPM+0VtNzG3XyS1wyKuVUyA
91XrFseqYkCTvatwm3dB7pD3x4D5p98n2a5YJLuOSOIrzw7R9ie53gg3xiTQwRRIRVwd2jmMbtQi
/o1KgzFoFuXBCi1CfZWn4iGrivjGiZv2ekwG/yavs+GZfZbe0JeMTqpO9A33Q8ViV8nHHAnfdW5X
01OW1Ia9xowH4My3o81oyaWiyaLHhI72QSfCuDJ0hIK5VQa4C1855xHT8b2RLjpni/fv9MhYCVH4
ooFuhFXetROAhFURJbFee2nj6LUslK/X1TTPx1IxN0Jvw0QMZXN3HJnQ7sc8ix/RKDhn4exTjli1
N94TRcOeFStmhPQ2U/k3GnIwAdjWobmC0l8yvKngpmI7vaZKYFA0evcUrkxyetdZuY72z1EExfg6
IPqVlEf9cNXHsY3/RFcH14Ur0qUT15rNsbpJclE+qlYD9Iz8+vNoJ0/Woizv8iA4caVBAdfs8SeA
HhfzlOubCNLuqXS1QiLuzJ96Zy4KDPfafksrZZ4Zc+mnqwa95glYWrhz0/rrEDbRAWw/VleQ0FxB
P70Ls6D/ZIo0fyIQQD45Yye9tdcE2VNjlOFmxM50EEan9uaiqg8Xfb3EkThWKUiSRXefMikD1FZ6
p1G34YifKEtrfK6hcYVgFmeptwiCwHTL63IpqZnSaLWu4owOOmaDFaWFhusCT3bjGmh/q7Gv12OE
RpzzgqAQD/g6Nsx1jRr+VJlhycrs4Vv1DeeqM9SDnNVdWhv+F+1VqNrMcDCzlTcy6aUhMqf3NAbc
s8KcQBB2LpaZtI1wV8bHcPEtLFIiHo3Fy7C4GjxlVm+ipzGNjLG6dnCpfW7e/Q8WW/WliK/PEAC5
D3HiemuBtcxdjQUjV7Rb8YVrW/1zR1FV4jdZRxn9yzlD4LhOtTpRCaG6RZHwNR/tfo2n8Bwt5rgQ
BPQmGXrnEyWihOPi06jW4zhhSQJK47JVagHj2gZPnJuwMW+0sQMKaVDJmUF1k6Utyr+6s8Jt3mvr
ciDNYgHHSGYgSTGC6mQjoW+r0YX+mcWjc4fWNPicjQXo3l728EiDfAyBmiXMBo0oOK+G0nvtPVWd
AeRkKjIxKOGvmrR3YquM0DYGCWCN0TUv/BBM8oTV8tKPQ8gUkCXGjeVQI4HySo5VETDErScLjrBl
V5etbDNuUa/C4KjfGta8W2sUSyMnatf80ngdp1F79LIar2Lj6nOjs+Wa3Vjw5lbK+1YZ7hemGPa5
5Q9tt54WX04ewuVU1P2yMLILYITBBYPd7BzSpEhX6fyWmHazakw8G67WD5Wp7nQzm+sAMsy6BKy9
kr1IdhKa3d5kRnXTWKqCvcAAeu22Y3uIjeQyz9gnuL2MNqpU1pNsPHefxh7qm8Z/S+cyuG1s+i8J
GOr72KeFYyWqPo3gU7eKNIj8wquo+b22HC6q0owPxrhIxUQhur1rWdUNd26BXy8cr+VUAbPRrWEu
5qKcsscNHmMBFo5POG3ssS7hutRsBvLMK66LyPB2+eK6shb/ldmaegNnRp4bKvZXoiyrfdfrHs6t
7p5tpZJNHmDSHDB3da31OW1qhp7vnq+xiPuVWNxgbtCwGWirbKOLxMZ6qttvljNkW+CV/V1qCm87
uOMy/oMi4gZVsHGUEd3JxZomTB9VXsicfWolUnvSFKxt+u5uc+0iWBsqMY5jf6YWH5xXjp8VGLaX
RuPdi7ElfimYSmynxVDHa+8lCfKvKpPt0UH4tDZBkmwaj3+LFmPetFj0BolZz0xzdzNIy97ZnbTQ
AxrpW5gG2NnzxNh3XsmutI1yhNu5c7LbVO7ogTbHnoJk2zd5eECw0O58TeXFhADNsZ0MZ/Ldf5hr
hmbdYko0p7lb0/Mcto7flm+dh9KVz34v+9ha91MiDuPgNOChL2Z3rA/lYno0a3aL+PPeGrO+6XtE
hqUswb6m855XNHRBpEeWBNyd0CrYyWymwsiBcGRmdenX6sY3233YNvt5LPqVWWTjhnHibWB02Sml
W7mjixws8l/UsxLNHpOaU8skE6tnfuEUhnEbtnrc56IPD+6EbnF2ihsjK6+hYiY7tCMgcCqjhJg7
3YSLYzSTGRv2rq42HW6XjQtra9lzWvtycGZewr5zZXQYRXm3+/d4ROVhTqNqHXrW1yYSeHzfPapF
D39Pgg0ZEIawHjj9zWhb4ZsspmaLbAtgSmscBE3wG2EMAYsxkrXB6621Gdb9UTOsP6RlzARVzsGp
6KabXHovgGUf/jtS+Y9GKuC+6Lr933sp2KaJjF9/Cj2yv//QvxRTZBSB8uD1bnvh+9bo301GVFMu
oqPQY8xJpxGf4L/3Um7wPxbNRRuEJ1omZxmk/KvJ6CLBCj2T5qNLegPlvPdPuowW1JAfUR924OB8
RsxFJ93EvfuxycgSqekXtKgOAf8A0h4YzOkDymmw/YlZCmYEyVRU52lmGeOD1KV71PWU1CxbIWoC
Xw6lbaFnSZ0BxhsRQ2zkSxfpyFlsE7eAkmLB9EPKUu0fMoaW9ucPkBICLvjAaL5gpdgoZT5+8qDt
xzxSszqj46dvLWx5a29Mw3PwR+blaEysxD9c2uvvv/pHMApCtl8OibgMzA8eQiZknDP+/IeIKEPm
Tg10MYZrEJ5XnU/kQ45sVaBCcBkfAOQymoOlzPo5HJuwgV7oDr6LEL8fop0XJ1Z1jFAh8TJhWQGj
IaJ+3tud0NdBKX1nW5XEPyWOa93ntkX0gxuV5NC0Fj3OWJZob6xsKTMa1RQMn3VfZqwFtCfPDDEQ
uDA3wca2Zu+1K2u2finqKInMPhpimI0RDgwYxmg/8DNS4AiuSLMuurbvd1Fr0LXF03qvLIebYHRy
71U5hQSeaIRqO3cELCgc6hLusCTCYJQhEg1r+eRmQjNrg+zNvrcsdhor6bd8t1aRmmEkE5WQGPkY
2paBBppl18+gpMmdEJXdJFeMw/lE4eQ5RwS/iX5QDcM6GNuGbd3bcMLaM7tyfftyzkbf2Al/EvUn
2+kJwOgYlL/6cQvE3WB2ONwiILXvDSe3F2KzpY0Xx+44c5ImekxpVunqyCoAhn1QGT/Ea5hD5xiL
mPT1GZ/OTge6b3pe6PAGtJXkOmKlFqtKlUhZXMwkgCszSr50jKNHEDfh43eNTThaqtigmrpJRM+v
NtEW4gSZWCxXwu269lMylmhqoNgsHtQqc3pUPg6nRRo5HW7tdc18N6GmmdeD7dnWWTxjFjjNyyXx
l5MTNktG0LiEgISNgQ1V5p3BXH4YxouEZsONQWtBLwNBfXBiF+RBA6mr27bI3XMqP4svqYQ/+hv0
yPmWJSLe4JQB02hTYN0LwO6XBkE4mCpT7MBsRfrqNU4772KaYvFItoV1OQ51fu04WfxKRSsPlUHB
tZYYil7LOBuealiaemfN3LLJaMLeHocuWCfpyBkv8iibaJwIMA8e1oZHQzRtd2OTWUDKxuBz2wwI
tiESYEdUV0ASPGfXevRxALP1YO7YPbpBAqwi5Y603xiHcu3wQbsjCA66Lgu3rEi/1Xok26ZAm5SK
nByYKuYeaYGC9XhtllgAe7nyORa+JUVk5NpmI4ESW9Qq9TNnhofLT0seyqyuxmjHYLBuPy2RA7fQ
kngQjNnnBEtM5mKf5WZ1RgYEu+CIJsshHtIq2yH0YbbrQP+HbkmD3il7Tr1fMULZCia8M5Lz1gi3
mgFogXUGExu9VnYQZZLZ6p75oGE8Gr0/N8hUlaGuJ01Syi6nABofZhwL4QOMuiK7jYZUYSk2MHhE
g+Mc58HlBTFPBecSSB3nUpsjeq3vyUa1WagDbYhc71zeKsmpbnz2M+83cqYNLlxlhDzHYlgeCsYW
/BaNaSfnZV5hsesJqmIjECTik86D3r5KgSc1gB6srHrzHeK/EoHzGStnwTHxfbGbQn6r0hdlKey+
K68nWseJgi57orvWWogjo9lTV1VRloJtHBubcOvnMYE6dmbxm0xup1PbEF2z6XJlXaYIePRTgPM8
++r5pc1WBblfzNTXHGz7qmD9mQHF9WksjlGJ8A+RWwUr+4iAieaUhxRosenH5gtS83YlZRxclo4Z
fvIGYPXVbN35TBfGNcC1/mFa0i0yWoj05vAAOEv2Bexq7BDvgRiFJBuD5iQ9qsQvvINBXMh4zmgf
SfwTG96+3bm1J5CMVfUUlbxkqiNddfNxmcuvncJ8IcqA/BKoLVCjyPOQyaiDg5XZ8ee8jfyvOnaI
BUE5ddXl4hxtLrv9LFf6RlR+/ALqoNwWLFIbEhCd26CJyhfLTRC8smOK1kzTYVd2vroO4ylb+7g3
gFuCcLxgY50/2GlLwIPZdruZEnVlDMS6lCqetwN79qshh0HhuQOI0NHPb3it1y9p2Cd3g5tfj76p
071qWneHTg3kyXuqiqyATJEK8TAWLloqtQSwhCxgmzxr5lNuhNkOFSuyrGbEb5L7Pq+9wanuWXTq
T6WH43yTzm25wxhbPSVAKDi1hQwZTHkYfoXf68taaPKT5FBs0Gq335CCYmPqXfdgz2m8G3PbvvTw
sbqbxPRKQlomyoFNq+zhrGmxjgV5Azs2Jfbk6Cfa3sWedUM5Xu9NxJEbxXf8lOKSHlmlBnEkBoaB
0wTz/LLp3OguRAe6N5ii7DwjFGv6aXOwmyYhLo2ka854YU8HsyynI0TE8Dh32bidWqXWHaLXdQNm
+JCUrbgf5DB/QdWYgiII5zO2x4Ty/L5C+TXzi/EVMTs8uq7t/FISgWB3Ya137kmJkjXMx1ONKwox
q1jhd+RN4zKYIlUFtkC0wnTPQ/r7D/BLNen6KIMcNEH+ggn6KMFv0LgFxHBFJ/Qg6oBLPF+bo8Mq
6Boq2GAgrs4iXjN/OOpSdv1cCfqEhiGWFZTaiAaXsu2HsgwpC1rw0QtP79lW0pW8merOpsj5/bdj
sv/LcTAICOp1zi4qgJ+PMyQVuQ8hxEgc5stL3VQsGqWun733JJp/fjDfxMuABoAwXHe51j98KQAC
rRFThZ7ee05VlbhHBor5GtLIn6Lwfq2k0SwEnDfuHosNxfLnPxyqiUO/NrQpTs4SN0hEidx7mBWh
gJJS1vq0LX7/1f7mePhAbIvbxBTMGD7EvFnQ66CTF9AQdBI9fl8DiQ1iyfLKlnKolROn9/fH/PUe
QRbh8TVN0Jq29zFZkPlmY0LkFics9+qAusEBMz7+KcLub4/io/0QzLwWiuPPZzKP7LGMZCtOhOKo
wyRLuUf1PP4/vgsbSvwBmGe47z8cRSBdajyD7xICkt0I+KVgXOmA/v6M/c1VYvKHqBC43KJ1+XCV
Mhjk8Ogq72RDYNtLlXBNhmlEHfqex9TVepj/sKX79fXBO51XCF8LuQuH/fn0ETkVTWMu3JNRReKT
hYDtNJsDpUifV+jPg2np37QzL6/ff9VfH+xggW9ZFt+WKNePXzW0RzRptWefgFvQ3614TXViCLDU
ieAP+ax/8xW5OXzmpDxpbPk/vKv8fFQcqrBPWkF7nwqrAnDY1c9gMnhhLjs4vdw1//z74cBC0YQ6
U3jvvM8fHvABibiT4J065YKUw7JwnWNuBsmejc4fH7T3VJCf38akN0I/dF0/9INfn7QkgN3M43ya
VQtQOrUKb4TxaOa39TCryyrNE0Y8qCyv9UhdN1JrtZdDM+hoR4Ksy+ai8l7z2G6/kIjlUHXOmGCv
g0zU+R9Oy693ODEpDvnuvM0RvH7MeyWjaZQTzoqTXTgcSEayfk61wXJF6AK32n8QcPoe6vzx7Pg8
VayOmN+Ao/x8i8c5/ZKIJeZkYF1SkDQWUQ9gl+5LoCxWrKSOlvs9lQQPgi58HgaPtM33CNimtZuF
BAiVfEeVJPfdZJFM+Ptb5e/OCW9K7hWGD6a56H5/XAvMhrH5EPDUF3NA0W166YsVGw6JnA7O07Gh
z/r7A/7y7Am0vTwNtHK4RXEJ/nzARmIfMdQ0nwY3cl9bIjjT1dQQPMrCym78nx+MvhF4ZhHyqvm4
CgDaC824CaeTjkmHAvRK6GMLq2DlmTXbxd8f7JfFgG8WBLTpTGepxbwPjzqUAKtuI3M6ichjYxnL
jjuLB5Fd4u8PZH/QRNhItJwlFCiAz8CK+rEwyZmVaVH7Iws42YHXJnu4fm0EbZc9REY1t2c1LBC0
ZbEbnIOUQh2U175D2EO+LINVo2+JaKNPYIxsltatNRNMSzbVgZgxWll0vZydmS/dD9K12RyPNsLi
rqzCqvinL2Lhwa/0aJiGRLH/UonIcgpqv2jbkz1DuX2P/i3GRO5jExTv70/aLzc6h+IecH1mjYtp
9cN9B5bD7gYNpUwhrDsGNqGXS/hFuDVsjTy61H/sHy6r1w+PPsIY3odI7vknk+NfrlI5Fw5zas89
iUa7X4WwhxMO+/DxvSEi/JauTgO+5KHS2v7DQ2Z/vEVcjiwcIbDpmrhoWAN+fszcPOqkO8r0ZFl0
kuYN+glQXvtJzL2DrACS/GdhZRnToaplOkWeDU+go2IJEXViTGrb6XRr9gVdxDlb+jWN8pe6HhrC
DF+P+0gV0L8wXFny2gfHhUK0AlVxIOgpgzNM2j3Du7SdH9Vye+UGi8F+6pRVn3DYQ9GwRauvvVHT
GgMoR9+PuSsLvWwGjILQwOzswiPIHKKOlRU3KPzTSyU6Y69dKa4rJqtMinyE4XSxy3ll+o1tntOW
xnXY+l6Pmc5VRGJkLhoWHFvzuKmmhnyVcpanMZDW2h1yr2d4ayUNwRV9I72O3rc5jNWrM6dlxTND
cNMMEsrKrS9gPDKa4kbK84K+f2mGTnGWXA+T5t8R7hNgKipalPsQq0ByEJAim3XZzPzp3Ph/FZ8D
plO9C8GlgqOuedYI3/Omb3TLoYRlVqzYuAMTCLNjHBDaXIM5Tq4dxm3VOUkKQ3fTOi0XxAb+wZDR
KurstiJX09qovrOaHbZs8mxNOziPhVhY3XidvujW5FuMDnL2r44oe/dCNcRTwK7IuczalPwgX917
9UY+7l2NpDpEv5G65wCo2VRWdU9vTmYdqRPoZzk8fRA6V4ymaIQHxSRQLToRv5FhcWR9nkenPDY6
JX9SV5JDN9nMqhWiEqWFk+ROa1+VI8CfW0saS2wqt0tyzXaxUtBn/LFGDindIxwk4gE2fTcY67le
IqqFzSvcm2PuoLIc2OLa/ih92AKRNR5xuMJE7VCOysvv6Z1Bjat4r3O2kMzcQrqMcW8iCbFKT+X7
QHrcYGWCiu3SkIq14b0OoGfP3TfHglZDQqRScsJB7kxnxO7poKHbVulvDOWi6wDD6fX3FpyX93wY
J9HWvZuSrSyjBEVr27fMOr8/VthyMU4tz8zoOylGb0/Sehu9ybpH65rIA91eevM2c8N+rYTHXdQE
go1RknucV5t8RHvlpG3/eZLVOOw0dt3r76MZ4txeI89ZCol3L2ZQ+S5a3HTpxCra8xg72P7AI6MD
/778+ejj1HVC78o/Rx/bo3UhxC3dVUFmtmfQwXlMi9pg0kAUIyfWjQbX2aWhHcubtmz4IBYRSmpX
A325LWc0Fy+99h1joNHjZdltUIW6v/B0bt2LNC1RrKlITl8Dg0nGNg0a272ZrJoucDJRG6PwsUa/
YD1mDAB1hoyX5V5xmeZgDQao6j9RmGc43aG8VDVOSolCNoX4Phf05o3cS0+5WoynU05TckcHbQ6e
pYv4jXwVU9Nqo0PeLaEhWNSx9b6vKf9NRPiDEwO0Q+D/sPz+gpa4eCUK9LX88qMX468f+mtO6mMd
Y+dHYcbKyC7MZL3+KxTBD0k+wKbBVpfUQ+ao/x6TOiEJijguaI+wotGSYVX7lxfD/58As67FyBV1
vOnzR//AjPGhWODwECxwtZkhYAmq86XU+2EDVZp9qookI2Yjtjy44oNbnsc6nh4KS6PzjEGp/HB6
/mbW+KF2XA5IGy0wlyYCnFrxYSfcwW3ojFlMB+YE6gZ/0gDbhpL/90f54DBZjrKkPDh4X5bW2cfa
u/Nac+BB04epayRlnW5usFYPa+mTdALBB2ttS4i926TGbcvO/+H3h8cS86EkCk1LMOWm/RvYfJqP
u+G+nwI5TH53qHKoxDs9wkvPiWQ4DLSNzmFDqZNGEkadEvmFRXaaE7UrVTNCXbeMze8qPIjwhqJg
ukCPw+QhtsgRC+Yxw6uQ8XeJR+aN6RB1A7CmTkF8gviY0LsAp/7WdFN2yws428w6mA8I1RZtpWhO
hfCaTxERrXs4hMtLM8bkhVnOaRqYCrjBzIa3O73U+lIBlb+3oeNcd04fnUbR1q/MGKVJ4tAwfYOe
Me+GMh8e876c9i004/MIhdyatyAZQCMAnPMEr9xLAoPt2YpNfnDUMjxvG21vLSGi23BA9boZyBmr
jpwq9kQE2PCzEbspZ2/HA1/T9FsSCWamheymg42vcVd7zUwQuhsCmmQ3na9qX6qbKh8IBRvQJq7x
gYCoxVx8wWBFHiJwWIw3pKIJYjc3bdFFp7nHoizAfh6bbubjON3wmJrF8Niks7jj6tjbucVdVNok
4fZCN28T69EaXRf30FhOCK+jCsLzzJWBDm4exBjyDI0qOjldGZ4LVqRD04C4Qsk4PZiKH5lM1T6J
Cg9xpGP32MSddc9MtX0ir6I811UVnhdFwBkBOIR72S1GfIyin5m+E3SxbWt6zgxb7W3V2NltLRLo
Xlj21+irFcFy/GeM0tBBP2fjYiQzgz2Z2zdvGuvOA4KhaS9knx+rgIs7+dQZJGewBrVOqUo8OG1+
rMHDEgIIns93Db03oLrcxqOFJhwk8aXLtmYNXHv4mpkTbDRGcbsih/bCLLli9tQMjxFcp4uwGfhV
TjLta9hyK0vzjcPRqC+jbHnYjca7MmITzhreia3A8r7qQjpGQ5ZxKw54Ur9acPv2kwTYGrtciWig
2wJWmcBByB7FJq97zmsW169+HnprPUZpuum0IctNlUTRrTCj5g1l93xRjsn0YI+M+0uWffxWTbZD
/NRhoBHWPf10Ko84J8nA4Ny2MdcRlyqnerlF4bANXyfFt5+zaXFUwnhnzFBNe9fi/sdbRbEf+xEQ
l+x5NNr+lEhVEC36zexDyklpFCTFtFFhH5PWezHtqSGoMOqBSXNvks2Vyb0NTWrjon5jbD187Vy/
vgTuy03JuAY/CheKiMaOEAG3vqrJPIOaPXpXPWOc+5Jsx+cew9yLQTXFnDebd8qOqhen8CbyWg3v
TgdsOldGGpAJWVLtxwGqtbV0JqxoKsw2718uWKie6OmNWz3VJa5gmc4XYzC1T3VrZLcT6VIBiSic
HwsN6EnneIDFaMpDV9nsONBl01PXUr3VuUAzi+St99dTEjSo2mhCpGQMgm+1nQZehB0H9lOQMbMX
z6SckGEhVe8+S2z+WXxAX1ZCNOxmuF+OaY6k5ZF/iKQ4dnr31lkC9dCDTg8WQNE1AwuabZanUWg0
s9hxH5LH1+FFRFqmO15NfXlJ3gAjX+6wk2tk151JqF9Ft87w+ksXn/EuSHzvBswe705fO5fKi+8A
JV0WRuNsTJ+HKGYIfizs7KGFyAeMOGJ46E6fZUDEF5PEL1liF0ejjN+mJYwwmeHYlVZfn1dYI7a5
h7K+jZgOWxS96FzaMxRJTLxpDp5I/g431oSQkWoy3hAWLi/dJRbRCOthWqs5Ook0ILMA7aHMGzZ+
dRg1R7pM+cY2tLtuzNhbFTIbqlWR59/ieu6CleOVkEHAp65Dt7wl0UtusWaFZ2kCKaEV6bgTCQ9s
kxbWmZwivSUYLz7OSwykbWFyNJdoyIJMIKZMToAMG2F+7QQ8lrCZoYASLYntwTwbPRkeED3eMeQP
d7Qi2nPrPZUS3Hv31tZLVqXXhORWFvOSYRnnQIrJ6fB3whpfyiXqsm/tfF0u8ZfxGEKGzUMgld4S
jzmRk+mgAMfwsGRnsoAHu+E9UNPWHWxj0dzSBwB51WXtDjcf6hDi+lIcm/ol8ECrIGfRZyVGP4b2
pHcCPiTIU2gx7UOII+PaF4wUwiXz06fkp0J0mhuqswB1r0c4aM37FQ8+LxFoP1lttytsmdWFu6SK
jku+KKGd9pG5BKGGScJT1eLhyxpCM7kDEUp7J8i7+oHtYQoxs4AJ2MKTyjdg/EkeUWJ+rZeEU3sq
5vs6xdS9ttrwQNROeCzgtF7LJR51IOrvlBU1sEI7L7jdQebmI2zn1nXcG38JWa3e81ZjNRLPVwe7
xgCkjdRhXsH8hS4cOukn8Cgg4JfkVnfJcO3Dwdg1CTLoPi5ucgtFfQuW9Cilo3ErDMMmNuKQtIjY
2ueSO14sebEYRKItUg33gr4Y0+5sNG6LTgfI0OfpNOFnzVeuFybuthEkTKIXuyRXwD8PdWcLwoVG
6Lu5hxGncJPsosY2eKyTAhekTIQ6y+fIee5TnwQh3xuxK9g4cM4Seg7BOrVS82tdFAUkRL8Umt6O
ORznhjQmcMOKlkzuPWN5kZLWjUzPAYW1b4WTCvPCat2BnBmrtGLvGTuAeSBhgjQgE2EBQVuabZ+f
eMPnKiWVtMvHpS6omxva1flGNENZbYOhkGcGMSG4Wic/9Vc86wSOOoM6ZzpVuWul2zYnetKTB10G
qNdTZkpXk42CH6RK/dmuA6Ndq3rKlmtjrt5LpDR1WIdya4ZL06ImsCOPl3NNk1xGdAToBtFENbOW
BafmLfytzHH61vTyb+vMp9RLMsoEPyLUbxN7PQVRIgvQbLV3NUtp3BpVTV9zkA6ZJyh5g01MbBY4
eeCQG1fo+rOu+7nekkrbXFozqzOJ2s3pe/HVSJRpqTW1X2AkpAjuvITvB7eSfoOeyFSmDBV3Omso
y5aCsdzag5tt0sQGC+2L8hw783xwwQxsigrzVKeWjndR201Erm7L4h4WlXFb4hJ4lERUX5H2lAGP
FPVlPL9/irD55BiCsjRqmuWlPBfTty6lJpGhT3kCl9u65jVYfnFqUQ0bIxYDq/bAqxJeJEBwxcfB
HDPtE8voH0FRcu2sxgjKNSKhaR8XYjozB3I/kn4YId+xllcUW881KWC4p5fyl+i2Z78j8wAtP7lQ
MYrFoNDTtwCcy550YQJiUhQclhwxBpHVQn+L3Xp+zOywufnDJsL6dRPhY7tn08hmxhG/DF09PHx1
jj3loBveJRPhSPgcinDaVZPmrpDluAkTx/822NNwwCeHd86yX4O0fhrLGFyOxzJlkKu86UkOvxiU
7T6Dniwv5OxkZ6ZZOC8AQxN9Ac64HM5UkgTHiF7pxkQktZOoYXGyxylhjNK7Mi3YawpZ1q3Oi/Cc
hXsmH4yOkZtQRammp++4XFmkIcbtAEnrjuic6RuYDRPWUem6xgrICKUkBqpjO1ZLqgQ3Di5faiU2
KdSDccZfml2fS6/igifgvUbSxCDflHmzXMtwKZcyCqmw8GjRQg+8c50M3pGO6ssMT+V52jes/RZb
vZi8lcd4Jr1sheohf1EOHsNTl8/+cN5EKLeeRqRSvAraDukeLU6TDii6MOPgOGnvKBhI+JHcDV+o
tB9B9+Nbb8DCHn0Y9jFQrkFu4E/zPyIKKaIe2sAS60gKC8qxR6Vzxoyu/eLnjiYddaSWUub/snde
y5EbWRp+lX0BTMAlzG2hPKtY9GzyBkF2N+F9JtzT7weOZkNNzbZi7udGIQVFogpIZJ7zn9/E2Asg
suEbR6VfbciQoRLMR0ooF+RqpQE6Eo4T6Xu6Hpa2Z3fPjI2cwCwNEXRCAzksyAY+f45YPVzp3qdU
Zds2kclO9ZxqOqw/tNaSQg7TMfVEHtCr21K3z6NRv3hDbiXrdkp6innunZ8BEB/nmZvPy67dtYC+
B4MX9pbEKWjSWYx/kydkfpDCq95GrIvfbEZz1FkQk2De8DwtgroXNql3mhDYrNRAs+XkZfeMyXj3
PI6GddBHWb3KpaYuY8gXcSEJYrXnfOxXU47qg5yz4tB2MJzTEpcyziz3trBa9aQbytzAcazeRMek
XrepbGuDrgUJzsybJ3E8eTZTGnkc++tr6SZo20N7rN5kWCJJ8SQVaWjbJGpgasU70umqJALP4Ic4
fTXfPzku3mJk1VGVr0Riz/syZi9q6gY0hOm5vxr9ZeuKSUvciomg3rwwm2/D5HonY6C97YgVOQHV
tsdkcsuTE3HjWjauHXawIqi8sn+CoEJbNUwJYCydt49h5XWBC+7eTWhPvKGcPzze0hk3GAYImVPc
9CPyP6kkbY4usMQsIa4yLsIQy+aPltpSsCyferR9wAO8GlkYFXFgp8ka8oOxvKojnSwHCXqRmib1
FRM0tR1bolexSCfkDyoMHenSNCQg4+WaII/mVi/xoQ/IYWTZLnsg1vWLjiwyJ/LkPZYqxQb9tOVw
q5ZmsMrd6QoMeTqPPajG5zI0R1pflnej70cF+dqO6DStbmpuPzvt0mL5FBDwsL6jY20Kuo+8NJJ9
Tv52kHvQElToCEBe2jIt0rgNdkNHAdCzMOwAUObEm7ZZTSM+xPFH683TeeZ1K4NxijgEBvBx2Jug
Bno9ZndNbS+eY7i3UR9yFKrKHW8aRbZDXEoecTTo+WGc+UY6lAaaZ0IZggra84MZOgywo0wXQa3I
WPRTlmAJYDJsSqLdsPYuxMUkovaeg0ZHNeD03bNMIaixh2UNsc02AIXAH+c7Zq3mptPl9FhqvOah
2eZYubIoLPwSMCGszPD42SGTLKZju+3i+c74hr9UmDTZDTYHG8vg8p99s4t2iMgQMLNy4U5Bhfup
6/NSprgajy8vOKSaTifD5XNpJkBGNTOgQ0mq2J1u5OWprkjRQ7/mnTzZNd/Ipp73mMWBZagFxhkK
K770NhVuEOmSzV2DslDlfvU6RpDdWr3xT4PLPlsNMbcQH6aWEBqLB5IRR7fBJIQW2qEskinv9LKe
m3bZhruw6q7yLgcJ8hOXWiNr+XXYthMueRy08YI2Dk26nAIUxq+Gx5KwZ9X9UE1YvcVGGF1cdOiA
38v6IW15T4kJCOTwdcIFdfgsKzwfZCrCSumuGHq6d5tj0nEN8+HzbMDHGiGmF2HSx5ZPvw941WvC
vriRJjgqMMw/NT53uJmwbxkIEwz8wga3qKhASD0k58lJjYfasaDaomE/4DeWH6ZcL08z7P2TMHlx
mO+RPEe99NJ1Q1tvW1zI18WAeNa0ox6/L8oTDMa9k17lMPsLeDEh+9i3injqF7hw4ZG+0Qk+oZhe
AhZ5JtTDqIyHdToCZHTsJjUuXUgpI2xXtk01znsmSFgtLhw3aVmgTxXRsMEEM/E1NzWAQZydnqwk
pESTFCzWMnZhNFlvOOxZPJ/b7IicfkfHPl0RLBQ9001N9Woyi6WOQ68NtQcBaEuz/Fgv1lHaPNAq
9l3PzdTZ3uKe9yjzLU4tp6+prS3WmqaHd+MATmHmY5EQOyGa41DngDfLVsnsn1CHzCKN0MNCNye0
BrRB6zZW43M+YMkBKkjMlxHg4zn9U2xqNa766ZbhuJN8dFw+M17cxKf4qwkCeu+KlpKjQQV3SEte
Mrhe8YWQv1cYJ9y1z5Gu6cW8Kn3GPZC5ThXaD803qpKUjM9xCjmU9cqnblEiQXGjs8kODeVEVRFl
5E/9tO4VD3zyiBPMTKDMz//8fDHxzOKI0QzVfhcDZyqRlPahnCWkIFObtkWcJruKZIQNqe7NMXKX
wK9esLLtGlU58oRkPtfOTCU8uNN27IgJtOfK2cAY4vstAJ3b1a+2SUcwfBKtRhwsSSfAKokGjm9M
9GaeDnvl2S9zG8XreUHAJY3sRolF2J5VyjsSX1n9DcMBE6hfWQAL5O2argVFCm4nCq5fRwmqsqqi
Thu5txPA4YD5u7i4jjQ3kRzC42SztcU+xTcEhfHGjapik3bC2s8UBxF2AndaaTXHzuqnq3Kom28K
FvSlT8zxkS1h3v6+tjYWVsCfKQvLh/WMhb3iwWnEXvvXD+u5Xub2mtXtMUfQ8ZgunfupphcjcyS+
aIrGBLSCQtToaYrgy1NaAWUcM2qet7QGWv182L//UJ9TiV8/lCUwffCWD+Xaf5mNRIqVjM9Nt8e7
jmxXiMjhuvNUc5oH/B9a4hyRI+XzZrIssIlQAbKlNU/XjZdOzu6zu3RgUVm5w24QiuoH4XTurYfp
0oZdlsJQI7eAVA/k6b//5P+mUzGI5VievkvaD2DJr7ezNf2siiJNopQ2m2Pog9uA3C/un2nT3uYL
+DpbUAB79sTXbuIUKRnCYxAkxR+zl/+OKv9mVIn7lQHV5/+XdN5XSsb/E7y1hEv/ah73x6/+a2Dp
/QM0U3cdJpYLm5mp5B/zSs/6x8KwgTYE5eefP/mXd5z4h6kLA6a6ZTnUoHjh/N+8EldNJJgCIvtC
HWYk95/MK8Xn5OyXl8QVQLmwmzw+B7zWL/QmhQlsSRBNtR97l1rMjzOischm9XcxDnBbp6RhC0qS
u279xAIxIUGHPdwZq3Wfxx7li6UoPcLEesY8Y7qpHLO8h2QRvuJVOd7UswWbwR1mscevl3qSjURc
JVpfrd0MrgwzLAqaNQ49KRY0GPpYJywc4+vMqDSOL1tYR1iMebNpeJHRK03TYAQYssfjesZT56Mr
MIHAH3+ytxnd5SU20vEmi0M70KqRnE+9gZLYhtMSy+oI8tk0KyZcAtNvjolqcs6m1oY1CozQOijI
ncdh9hDRjYlebkZiYl7o6l1/Teix/MlVjH7V2iWhpaFCUIOTSYPpsIvYe/OpTBxDPLxxrJFE9Cba
IPbJMlbdWKj5PhIe+F6gELtxSroTAkuT8MfsCCaFmTEwHpg1YGNMKrtnJEH0e4Oe3fkZezsjgfgy
qLB84LyqLrJr2dPHZowEHgQmgXRh7LKD5iTWh2y4TaWv0Jp5t0ThTWCINTcyxZcbWJNyZVzZ6eje
zslMQRh53k2Yc3yuxrnVjXXouzYhNPlQbV2voCvBgmWsi/qSGY1/IzqSXU8ptLw94fT1tocEd6LC
QEwfx8MpVijzx7hnjJqIsro3jMa71WxWS5oxj/InT+wLA2SoCFvjIawy+wCp1jpqQKOHUbnVJWub
Xruf7WLaOG6Kp3+HXRhAhbKJzTFFt581xnm2MqwtHNPmfZiL5qVVlflc6ziSB/7cCIDySMAI1gpv
0xJ2vpghTv7tWFMwT5Pt35ttEt2O1kx2pz9igBOIHtwGYV4HvK0Jcy1jbXjz8MLHsBxP57q23GiL
S150tEdcEPehS+cF2jKZ0y4JlXYyw6VPGAimY84yeiWVueWn8hCLDEJzNNTqzkXcjX+GNfo3oJiG
tQK3dh5LY7LPMb4UQ8Tk2cafwksxIcAFxWhnaxeNk+6HDJzSoZ5WhF5nKAVEUnkvTV8hPJVoh6EB
O1bI89GGfgVGrZolaNHzthHsOZNwlqrVyPp2aqUf8qaZkmfCOn15RCUj0F+zfL6hvtPuQcUIF8vC
s1sUGDX0snuOm+I6xCXxlCtEVt9TodF2rUxYZbZ2jAod03cXD9lH+JkYLcwTwYiznDdhC0CrY+G8
kha9YDNHw1OC58ha8+Pq3KVxw+hV3qXw55jEoI9ESGkyE8tYQ0+MsSNnz+utPYC4hbuqRbeN7NEq
6oBRdr1OUrMhymsEmkO3Q3hUyWfYY9RIcDL23WqNS914hcY1PeCvTaSwX8J0804Si5pDikg38L1q
PMJvJOEMy9WNLeMlhGDcDZqt/RAzOw1icTIVoIB5DGkYmxqrCa/aazyQ7vFgj9ZuNOwweBdPRttO
q1QptZonVV1IT7pDQ080L+OmldYtiRp2wxA9x+DFqx1MJMou6FJRXum4av5MJ/dan83wpWmzYT8O
TX5fIia4pDArMZ0ihJQZSX9jqNCiI4F1OoBv7Gxnvk4ab9rlti6DGEx5OxmYMy00tADzvSxI2raq
1wAiL1UIqjDl7mWuWwKes5B4zrgPMqtq8UQs223qaPoZO5Xhwrya0r6r3n122x1mn94mCadwWxGD
iqeL6MgWN5v9XFUJUvZeO6ZFYlxN+TIGQWlYJSb57VDSgsydyrXpKyIIZdU+D2kz7PUiko+paiUL
Y9B2UTt+qNbJd0Q8TRvZgg70hhm+WplgRD+GdOFOikqXZHBTPyinGrK9VdjiqkRosiUj65NpUREq
pDL7SF5IHoya5t4qGvRdMnM0fdqGSmHj8dE7s3s9dU2JRQtuTOnGaxKJi0cTPvmN4JUVBaS7SsXX
eJc372W1hC3N+CV/q9282BqqbwkYZJpVdNLfVTNj6hrT4mfSxbWNZCwaVCBO1xiYVVcMWNt9YRXe
rcUPmBCO2qXzoic3ajAuMvwGS5Zudq4ZLBsjnZHMcMwf0+jkZ4UH36AU5KfLBHyGFqxC3I7bKXJy
LHmEtMmRNw3rGmEpOZBFPLYrklwpViG17NzazY7404Dk1XjONNjVPcla7/AVg3u3ThQmS7rV3jlh
Wt3iHa9fW+jT157kTqucZWAPW300uwBWIVpJsw2p4W3t0GJn9dPC6+ynKhCuO7G1CM9lOAjOQWc6
YiVPVH06NWThisR4rJgE3MX4X/0g6ina1H5D9x+ar5qvPhLSbb45JoEh2oShc2eLR5pXjTzdLgtM
gmPwrmKfm6cmfIxaezda6WvoqO9EX4jdXNlyxbCwD6xk+kbH6NNoVubaddu3pqDf7i2yHbHg2rSG
Wf9E/NmvMlw910jZ0n1vqrIKzHmyN7MTGjc5ASubrBuy29JwrstIlqdiJuajkCY2OTBlEgka1g7g
LkYxX0eTDDc45f5QaQxvZr04ZCCvmy3aWKvP965B2Mwyu2hW/rK5ZmKJE6U+D6TdYiTIKbeJkXu9
mVn2oJG8s7bQRxCY4CKOTzz3Z2u0d6o3PsKiwc82aQLMYF7K3NBBlYCix0x3jz7RCaca99WVazUv
VTTX29lXx6HMyKqJSSXAsDeD/9xb+3ScCpJF64NY+MJQMx6TYcpOOWsetxxnYTt2/s5MCcyodWS6
fV4fKzne23PcgR5DBMh7oD2M+X9I6s8AwlJ1H3oQ2BJQAICxgoEobtX9Br4EQdhlV2xHBce/1bzv
GHV+I9klfNEbYV0sH2ip8MRtY0jWlfhemMSQJoBQm5re5YpBSXWlGvOnWwwBdcGPjvijGAtBghWN
shv2Xk3cTmeT2ZM0MX6iwKY7Khb3ztCmCJ7rkG51qscL7gLhTRtWx5aHXuXtLsHYK546OxBuzRI1
vAgf+NFct0ZqXFt1+jhmtXO3hJ7saujneLCbZXWniOMI0o4Eot7h22EnbHOknzRSF9adMz9J4Ial
2GyM8kIke8Qkwr8y6+pDJNG+wVt5FWv6BcOAy5yjqI3JK4aOvErr4rXN4VLM3fgwdOqmNiROa+WZ
ag2GGmYovPd4B0+TyqgBFRGnKa85rotxvxZWIhgZ4jZyKpnenZyiKUHN2pU5uaC4Giz9G7Mts6vP
bua/jd/fNH6Ev3vAG/9/43eqVNIlb7/2fH/81r/MfDxcwR3EKTaczC9mPvbCX10aOM8BMPns7f/V
9WGZanKkYdYDORChIVTZP1iqJn8QaS+SECg3C+3V+E+6PusLa9SAt4bu28YaFRmNK74K2pKpHRSp
qO1BlKGL3jrVjDs9buYz5nL1tmpST65E7ervneaGD27stwRRlyFHTAKWilweaYRrnCrConYUKsy7
eiMvVp6XaQ8eOyVzdIC6TaVLHyPQdGTkoqmfaWsaROlE+ROMfrIl8ToMorgIz5Vu09CVpkvWeMOo
EHpjO+wkEcj7qimceyJ2xus/PbKbfza4f/bo+ULU5Q4ACJm24DYsxNavUuZ04VlUTG8PY0ubik+2
v4sm5cOll8v34nP//np0+X8GyD6v56MaxToJKyZ4l78iOiaDCqLEs/owaK2Fi0X+Hs0wIJOQe/D7
K7FIvl6JMbcBARoojqiML1DcrBxjXgTgh4GMqLWZptNim6PtPDib93i62EvZFd79/qL/5uuhp3dB
AVlMjNiXn/+J95zqzPeLEkif2p28CU217No6bjtrNQqq5P/8amAqyACRKTi0M79eLfK9ISmLlNGc
PgjUGG0xb0enNYaLyv2H319rAX2+3k9/cSP2XBRZi/zw14vhCZTHBVqHQxOPuRVYMZFfDEiLau3R
Y61iTpWLapVxGsgY2s+5K2ushEDuf/85/nqHUSF6rgst1Oef7pfHmhudOxXKSg+NymCfjN3UrZ0I
/3zfqen4f3+xv64hoePOCGUe0bgNC+7X79w2fm7J1kkPtTHPt5XXdkA0vMF1XGfxAR9CQkLckjrv
b677776k6+CLBmEZ26yv+kTcYIYkcur0UA5ND0LD0xwsNeB4l6j0P7sWMAV/H3tonU1VGPpXqr4N
QGP0sZ8cEDJFa4KGcReu9Xa6iqbBevz9/fyy335eC7Eit9JzGat/SqH//HoU0tFajTU0T/NgEH/k
Fsc8sXrjb4Djv/D0F3844G6U45/L1fz1uSkH21vCn5NDqMPcW49DypeyJ4wMsf5ZJqsJAc4jihic
xVriojd0ZvH599/1y9pZvit6STa6BcCGtP9l7fR0o5h5Sj5DT7PMYLkhvBDeyDm0puKIw6WgkrKm
v9nPv6rJl8sulh4oFwHMTXKFfv3qPeSlasY07RB7ofXcpk5xBHedIACX8a61ahxlJJggkWHTGOF3
OaipPwxOOf4wHGLWvte9XxyzsAz30eJ5HSYh/5hT7W9YSP/uc+IuQWmA8QlKBufL7cmERdy3q2l7
tPHOOwWf3QY9jpk8otwZnH2ppbW7mlLNdTcane8Z16IJj+QyDA8qq+wrX/rhYYSedO1rTgcFFLuR
FKa27/a73z/Jv65aD00JbClga2+Br3+9pfgCI0TOh+RQ+Dq4QrbMRoOy6+Tm99f58tbz6GiYeGQY
biyeNF/PxkQzuSlEjh1AImdg5pn+viQ3jeG2Le5/f62v2/nnxRiqACkJgX/OVznv5HWiA8hjO68I
Goi8sF/rMOCDnFdlS8BdFOANNl0ZiNNemCRHu7ES8m9urIE8h3v3C+xOICfCZd0HHkO/Y345VfIW
k27ejHDvKobizBhNNlPpj1Z9iJjJ32rYPb4L7IuDJKH3BoKK04h/z0hscwpdXH0S9XxgyBvZ+6aC
TJXW4Fa5VAlAXjGfCWQN4dA35t2cW+FHP6r8yZtyVBz4Q5EO2cApc0nvw9TAE1d9q7PhdsVg3gmI
XfeQNfQ9XHXjFJPSodY6WpoHDSD/dopCS63yMu4vTIblW05k9jvIbHjutHqCgECYHDw1TSC3LPAf
JNCtDvdzZ9jdNiXukCR7F4xwRRqpjewBYd8bqRzG9xL8/XGwPrPTFzVNwITc/sh7aTPrJ3si3nRe
Gp8jizcb9kq0hpWWvKuYzZu4K/ERVcBFQVlQNgJY6eRRQTeK1FaPHXs32DrFUOmO3Q/PhQVV4jL8
4gHXeHeVkbLeePujbAsblOj2um61W89ERrrSO+W+zHYoCN3CjtpdfrcTFR9jEuQZNvAWh5Wb5NqD
X1nTmXMmfwJmHS6ftzd0BgnhKtZv4UTH2bGacd4+hKhMrKOpF/GZzAs4hc0cM8d1P3crDIGviHpk
h/p0JgSOYkVWOnS24JPmyriDezcRokFnqevxgz0m9rNq9VwLzEgvb6yM2fw6tfk7A3j92ZE1+d6N
m7y3mCEvnuntFO18bAPBFwWHQhpZ1iO8qtZcgU0Ux8Iyk/ccwiAwQWW/EU8D9MhLgwF1mBTzLYk0
owxkhvYVUdh4wb2QUCzXNpLX3JFsTbORPxkTRr4ba1mHxVCFR0+lgNzoGCTc4tGggME+DcZjn7OW
kC3NZwJtIcaGtF7TisSe+bYQmr5kd1LnqBgWapDyBeBtpZDGg44FttG7uH6LB/h91eixekVmQ6cI
Y6zg6ePHa9LutQcnBhNd6RFagEjL02Pm5Rt/1nBibu3xAqzabGXqGvsId/JNg4VfAC2vvcWXJzno
RO1eDRER9wmRYWvH7GBCW+V8VESA7Rnchw+RdDeVrbK3xikzrDFj+ne8lC/F7O4yhixBsxArdMJN
XzyP1w73wZ1eTYTqZgpVhDbOgUnPFxjkSWz9kZhUu8XtLeCumk/w68l1K6cjKTTbOG6s7aDi6kgU
Rw3OoCAfFMNC+uJr5ZnXBnGW5eupl2pldjaqZmG/tG5nnbFqvZC8hvCkt8Yln8ZGeGRaW9Ekj07o
4IPf1eZVjjZLVxn8LFkOO6IYSV3DanMVz7qz9sligDcc3zHke/dr8w0SV7dJtcJaT45dYhvXm3Cn
vG+N02Fk18O0DWDVcqqp2nxFa3Mk/dFY9WaCASAM18x2Hvo+vKpKN/om4VtsYnsaj3FesAHbS41U
mNO1k1jWAhA2t0aSd0eth0gwz84pc5tFiwNG7HY+EU+NGXU/Gz2r95NRpSQxhX3YrKbIwsagsitj
FWqRe1Ii5wNVOa4rq34y50cxI1EecYdVILmmfyWZWV0olOx4PeA7uc4wo3mEcR49MigZ7qdKUD9U
xAXAJu8hykEhtzZh4bhbO5PeDyDx9jASP3XAGgCOC5pk69xG+h10xOHOHaaJUaBSaA7GVKzGqu7j
IKmb4qYjCi9wedOgRGnYb63MrAqDdqIWwW6Us7B0usDR3YStqGSkZIecCNjDu/s6pfVRrD/UAFO5
9WfdJoKwtwnMqM3iAknuycXudW0MC0m1mclZjqAPoO+C75VuSSEurrCuzLZlmokbXZEwjo9eBPEu
Gq4sNa4lPPpjOihdrkxv8F8tYrcJKyrNLgl69slD6bfx0Wqo2+F3eszo+oKFmVI70CLk2m2OKGdD
XtM3JGNiq0NWfVF26X1Ie8zw5i4hkpmFcJ/HYfbnnS4SjYzQYVyRj0o9Vo7NviYJ4HrEifO2JfIw
sKoKqb9s3D0dtL/3R8OUK2is7c8aBfCG8LLp2EiiIAvc9H0yunKkccYJSUVJCbMIepC53eZhA8CG
TNSi+U9jG5iCqaSWaKAPiGdQdrr+/SgUwG4c5nKFksf+Ps56d+tKDdQA64W1h7JlTYTTZglvhtgV
RmKH+SzJ4J7sN3CB7cds6qqbSDIrLkIjPYRpY565g8naQsjS4ECw64VgYfvlGYdnPQgL37yJmpxR
MeYPJz+KFhnrLBBSNca68IZql+tAv+gcvTcl+UpsNJgxd0OCARIDF/QkofCgjpFgvCoHo1tFcN+e
Sh1BliLc4KLPIWW/b1XOCkVaWm6mTKvsVZIShJZnpfsiMgcQp2qiq1GDpgzBeiHkaf6EoA5KrLQG
dSvRM0K3rP2+CxAAcqbb/gDJsurFNR17vcsK16UBMKpjbkySt4s4uCEt8pvaEfLidSPuszgI+fDM
vH3B9PkweHjK90boXWEzE54hEno7yH3Fe1Y2Lv7tzBKe7UgsjkZp9uGLgmSr2sUvUyNzZFOnefu0
MLng1Y2btqnsHA/1GU1Ux9DgTa9tMrGoMbVDhNox43BleNbEJSP0dFZXxEZjPV+lG554sskKjGMR
jjE3qbETEDDwNmUULXQ5Vb2T8dsfSXnU1p7PGUhGNf4kYgoZC2TyxtD77j1tMbFNm5xTg02AcG0Z
9LbbZOJRwph2u+9wPjx7pWMeE3/E2tQEEncj+MC2LGmTpPbRkBp3HjEBvU4GoR61KOzf7TbxXiLl
t3jeYxefr0d99gTH3lTkLkP3sij3mmNjn2uSe7wpnP4Z+VRyrWdFs9a8Pjdwek6rFQxWEqhJurtm
hO0yR4EbZaEqWTLB0S3pthz3dpnqZ2xgcrw5B86Mypwm+MRKObDnM8Y8KyNtxr0RDhINVlGrNarJ
iu1smqN7Ri7mFIzCVEQskUIcGKBDrEtyJQLmX9pDkvv6FooTz41DAdJiLY/QqtX3mt6IDiPO16VW
cBdaL3kNoVLiOESJc47d2iwB6ttx7+hW+DTBj3nTzFr7MB01nFB3Rw+iJHLaqPizoz36jwZecQvv
sH0NazuhnNRJKu6SRwrjcCNDBxJd1tw51lMUzeVqmtleEeiwqIonHEL1le5pd25PFF/qlvg1u6ja
sCJetaWcAqLRGFdSnDCGYopMch2+tvTYeDcxrYNE8p7lZlwG5I84KxXLiqMy2pujZm6VM/zEp9bf
0csjPoTwtc3wgQtIDCVOoSA1L+kJ3BFq60U+MReeqa3dkOWMdTJjV1Hs1Gy8zcv4PIaAuEMNm62I
xct3tkzG+4asDXLNveiclv2HVusWetuiXDl9bx4TgF00ufF4TDBj2GOwwoEz9hPvc8swJJb6e0b2
yYoen1OHQuhoq8redH7SbItBdoS+jCRcG+Muc2BVWBRcAU21s5bDeBkgQWHAMTp70TYxQiHSCLqm
xoTVQ6RLKXgzGh1ipjytt57sfkrmNZsa76md4SRoLxv/FSfqYttOtXMlCSZZzRFpkUN3qyztLXHs
LamDE3WKf10W3RFt6ctQzBeVhUdZOY91G57ZcgGM8kReOe38kTbRExGDd4x3djXVdFCm+ZuvJ8Nu
zgApXem/G0LvAsidivAuA1sl0mE3emW+j75BYaVFbPKxecidFi25SUCJqq/G2B1Q/Tnfi96vV2YB
qr0SqKk3EcFLz7M1fx970iRTZW4bN0ckOflT9KyjjILEhCXQ0W5r5BpocDHFtXYGprpN8g13gA7e
cXwSzaPu9eqh8fCZirvk3rWiGBqVnwVwZNQ3zWy9zYhv9r6nhzkp1Wr7dkyX15xQdwZG7jens8td
UjSOt+7ioT0kjQM8OqRLO+H68Qhr1qCETtrMXs2GM59kL7R2i+fXncAE74eOhbp21OocQAcScufp
O7M3B+sKU5QOzR/83fEmN5k3Bxi0Z+nbBOg8AFwYoTxETFL9rTtkdbsC1bRTiQVwzuCxizBryaiH
9q6lXO0aUYZLxrxWpc0Kz1xc0LuBljPzk6BVUCO8KAs/utDhBeSqjBhE6NGImB6NFLPdirYoYtmr
dcX2As60zDSmSoUvCiOkTYi90rasTHFFXtR43XDGPWGCjCrYFnTJicsEf2oc/TrVRNJvpD/RdiiX
bWnoUisojaU7MRKE6+lsDpfUmYwTrlIw5qM2O8bZEL5EhQbIHeEWdWd0Qm4w4aETieZef6+qwRFn
QueWlteXULtjUXfPDR5Ea6hGjr6rDas9UNvzpzWn1DZxRYO+FlM0b10DYYU+OPLVQSGzTlrKP3QX
9Y1oyUQzeiIc6ygNYPu2BzPrOEg7C7OEWCB9wOn+7CkXjGCZ1Hxer69tbTNVTosizWJmk+X9Tnft
4tvn/+Jjgn2nO7T9lZv6O6iH856JfP2GuQM92NiaoASeNVyGmbJHo9lk1jPD8SVVbDrj+ImNNA7H
20+gmAhaxigj0jIivrr14vOt46INNUODgHss4iE7Okiqdg6is+cqkXyBJOUvso/Mtx3Ayw02R8a3
AtclSvtM5zMPY3tAVw61b6TenbVFt4LB3BlNHeJ1HGnbg12AhdeCtq/pidgLCE5pdpRq9PZK5dhA
46E1ZKtkBhUBvGQzUAbdid7668ruRXPIMLYoWP/6rJ38CjcEwD9EUlkKoujNV37bdngY5b4EkmlC
GZNyP1dbTJwH+5Q3UCqEMYirKkVq3s0C8CqcyZRZ1h1OCojo0GFQ/sv8KW/z+ZbJMHqUHt4Knw8v
xw+NgGtAEdqs21wt9yRXTNkM/pNnNZIt3XPbACkD20CxhoKt3FULFNepcj67ExSeOR+8NfycGVEg
K0DaOn/bx+39NidO7j4yfQ16J26l0PrB8130bWPp6t8IrSGQtbTbg1suPyWvol0bMDynAGL6dO75
QwQItb5YN5D3v8WGIJscXy/INh3rPtYorw3s8Hkjl4bf0MzwYzbg6/QIVnaQRpkwQk96A0osrTXH
ef8o0TWdfAMie49k8Q0N33iDToBXR4t5hW1LMZsccBYJa6N6y9xOIlcdNVzOuj7XYWHmoXFHc8A3
LE0H+CtEM04FHA7lzi8T80Tf0j5Lf7m9BbrVo8LA7dx3lXk3ZDKl0uKDm10W/yjmon5rcJepOcq7
/pjLKTxIINdipVCEvM0TEVo6iJxs+D2/TbIrNt93JTqkK0ZC6yHr76WOKQQ5kd6u6/Es0SVPR8qQ
l31xngjV5INYlCRwtb3cRBUKLwsI/FyTFfzSDgKfmdmZjSukYcaltJzwKHKLTy7pfMQaw39/p1sC
8IOxKEHFyyoYaqA5UQsgBRxW4XR5kp5w8BWrxJ3190hP6zdGkVoVMIvlnSbsK1xXdKdbpbM/+jZ3
KnIi7WGmISCft+YL+3JZg62OSMcVKGSSaPEC96wJbYq7qKNxvEgCKBj9T8+hTw5oMMZvXZWMryNe
oGiyKchboNQ62sSUFZyMKBhORteX1/Eg1QPqeO9HjYHnR1KN/rEXcU7C2cDJhHcIsb3CnSLSdFkB
S67eS+oINANda7Xky1UA3HiVJNX0T/j5v0SHvyE6mExMfkt0uPlZlt2U92//y96ZLMeNbNn2V8re
HGkA3NE9s5pEz2DfU5rAKIlC3zvar38LyrxVYjAeo3THNbh5M9NSdKLz5py9186j13dArr//4L/0
7ZKcIXQMDi0nPH/83X8L3PW/LHp5aCPQdVHpnn0M/2gdpPkX/2pmZf0rO/a/tA4zrIveo+1QXQb5
OkfH/gGRi5bTQakdfLLERWPoJh/13DR+38ZIMwEJGoXwjjSIZFy1BsqHlQVD7grZL7hoz4zB/IBi
qrNNr+zKo3pWMwfNu4vNVNWkoYepjlK4alRKkAOdKI3obraLtUfbSPlseu3xnDRXfSWjdjCQ54Gb
WmRaQ4UMje9qslO+BU007LicCTXpgmDC2agVhxNYILN4qjFx7Fmxwis63jpcyGl69E1NRGhAnXBd
ezpe9bDIqvuAwmsOVwpp3coYdIdlCjojW4ICeVQB2rMHXwGNJmsH/CBhvovAPb1phhF872msXA78
mRdrpErGbteTFyGRK2A3Hby8KMvYOyxaKwCKhHz9BppJet4hZr6OilBddn2jbQ0/JhJHpyiwKOCi
rt3eJ8zEwZO5tLgpy4HguYVWs5VLic4dFl7pU21LLWrMNbfZ0JyEIUywz7kdtOvcsWfBYRWscfx7
CxlJAw2+l90oOiAbZU/ZLWbM4iZu3foaX45EXqsn+R7jT7mMXUrBSR+Sw83GXC1rN7vMHdQj69Gx
+3BRJ6RVLnNLfzYcR11winkhK0bdG01DdcGtKdBBf4lJHclaN9nmdSueYL+bbPGFC82QcJJlx/R4
KUk0Wo1CJ7V2Xkcsq2vuHJs62hrFsrUnckX/2bCFW8vM4Lh4k3kpsRKYhyhh6DeybaMCzJcprsh1
bL8YYxk81pkYrjvUwPgh7TVBS2ppQQJeOCEB3CIf0j35B/6FR//y1iJm8zKR5nPUS3uVFDjsRrsd
Nzk6u/uxtaq1rVnZrtczihiGWiZJHN9BPNGvKdI6K3+Q/VlgF9skhkKTgRBZhq1OZWcqsnmHUPi7
2PMtDqUZlZW+/274nrYppPQBK6rUuOMlJ6hpGKozaCPZYko9saa/RhVXmHKFn+G24G1bEkN2XuiU
1TK3slcwOl+mDP/hNBDIFJq2QaXC5bdsQmsZtIG/MFoj2pPqrr0A/AvOyjSs7qy0LC9HinV7x22q
VUwyFJJOpIeprMMr0VW8N7y2JHDYo7klYIxUnDyMiIyQZAqXdmutaWcOd2OvZudjJItga+MoCIxH
8M1DtGnYdVA+t4xJ2u0q7sMgdO/ws6R2SeXfc9t700S3f281tNolfMkkNJ4MybuwhnEdcabUnVvl
hn74PMiJdnoL7VVs4A+wYOOGGBkflqjnjuazRwCuvkjjmZ9Q+yKErIyvxXoZPJHHZzDd8A+mxBlz
NbFOaXdbF1rd3XcRBN57knlaqjvYwGIBjAHQxpckUfWUr6aOOt1sFG6IkixtD7xNYw7MbG0UBF8y
IwrIMGFvwvPRCtITBLZSfT2Qm8VxneMMl48pYg52inMqplUmFLyoUWFxZJsERsr5mynFPfJaODmt
KvaRygUhvbmfKMH/2X5yFuuFRX52qLfKf8iT1uZYXgkYNaZC4MyHZQz/u1L/j6La0VNIVrX/vyTx
8jXK335fov/5E/8s0bb9F8ATggMFa77LTpEl8F/MTOMvaJUIJyzg1nOmx3+v0M5fsBNpyTuezuHO
1Nkr/KNGlAgVLQfjGIIvqBuzUPEPVmiGeNcKp+9PaZufg2rEw/Z4sD6PnpACDjRaP38NvdsaL934
+re7cfNR7fdxCOSYlkWG4qxRQ/P4fguA2GMu42DL73yxSCZ3lqATG8Qt/a97/m+MMv8Wv6l8WE6G
wQpncGH+tdG+FsObOoX7PHUhByowJyokRXaGaCeiTG/HaFVN3z6/igNlpGQL50GbsD3pEh1iHgrN
mAnNvNNcsk9IrV10GuXHqCxus6zaWiHdy89H+3BBv0bzMB6C2bc/AFOdwRoUXHOcTUVAFYFG/iLK
iA5Jg/JU6NGxodBDskm1yIGkwv7+8eiNXQ4cO7mw0A0ehlhWC3YtxqWuumTx+VUdaqDme0jC0OzO
xFX8wbttJJYOV5ihYEG2F0mqkp1dx+PSH6ZhUQVDti26YDwh/Dx2fThAsBi50kJgdPBuWBFbSq2I
mh2hOHjtaZYs7Jo2g6/xl8+v71BnNl+fSQyDM+sRbXlInU2EVk5lqWF2GUMCyFJfi3da5cZwm3T4
54Ahb4ioHiBtTuFlC5HnxPjz9/q7eubX+Ozp0Xu589R08D2PgSyJAcLZ7WbasLZzLhD+wuPnFzm/
D4eD4GiH6EWJUkec9P59GYxCjcoz651SlbF1+rAHxOII/yo19Wk3jeaA5cwb1kWd1ZvPhz72/rBS
WiY5RByg5sn/95nEs+RgBKaod3GfjDRJLPZfsTY6S5K60gqOFhW3EWbq+vNhCZz4+PUbnDC4WJNF
wTAOleENvP046Kp6x9Jefy/QaPZrTu1AY2ciq+Un6Z3QM0ocKRBbwaFhMzSCR0BbYjsOXb+Nyrp+
MklgNJbU2uJVrZxb08o6Dk7d0F94NbHMAAv1lVBDtzE6n5hr3aRE6mRt/DDO/W7ocPE5/Bc0MAUd
PbdcYXto1mlhdLs2hiTlVSF0J0SkbHCc8JIt40ikKpYzO6oLdmgtNTs9dc51d7IRcTkQJEJrDC9x
A9sUWdJxOemoF0LN6s5VwElpkcyguqlN2ovWy6bHSPGPYUlUd+xU320zcxAEZmLtalW3apwp20qz
uZCJqR6HfJS3vU+iM2GM6boQdUwtUse83Bpy0yTMoc5QGpcubbh1LORAdtzQ3QmHbb6kanPhTJjg
8CiaI6KExrj0fcFSSAdvGeBKu/Xjrv/uqWy87QCi0JDxyd50upjxoumtZyf2EpbIrVecOaZHFISW
WPWT8VbXM7kHrZv6qVVyIEYxTtWTZ0ZuiFZayduu0/lB8w1Gan1Z0EtTC8RT5dIeLXuVlb7C3Esz
chHJIFv7OC3ZIDdGQl9VOcs2jbWrOJBvqtEkmkrV/oin4VFO5puXe9aXwbQwx7Ra9AL/Pz7ToVlR
WQr5kPJevs1la5IWeiAKccWMQRQcD8GCtPXU6vy8bOD3wKec7DPPap6i+dVPh8o5z9w2pGzW+/j2
amPbAnO+7VMzPgty0a28uqw3PSLDbWGSY7hgwQmWHjbGtYuXlmo5KMa9hbJmR8eDAczJXlZVTLx6
5iYQBOPuPimm9l5hOqIh5DW8GAD/b9NgLBY60aR7tKdyIbWiXXfIO69dj9sJvQ9eWYbgYoXH27lS
vRfHZzFaKmD3VVQtBhJW/Zlnb9zJ1g9Q0EX6PemhyQCUEBacSWDENgwCfWvI2v+GaVPAyQJJcmX2
HkIQuGFOu5BG3i5iuvHXY1ibqzEYbSJoA7kfy7q6qHCP32FW685sr7RvfE1oW4BF4sYxsuCil9YT
5jKKmE7Y9LRmOx2JFF3Cs6pWHMfbIR2WSRT63xQyQc7sPb4ugYtwW6DZ+injxP1JD1otGxIsz2vs
zN9CnPxrEBtw3KgK6ZxglYdow5vvh68n9sqYhh8pgqp42XRDugaZqkNFMsYdVkfzIg0C+UCBH8Pw
yIGJwSxj6zp5TaKc7F9c0+++YjsNb/WsgvIdmamN83ug9k6SNGoKpAjfjaRR+yprs6tWDP1rLUR+
mbeBdz0Yk3igUo/wq2noAw0V0IFfYTQCD+gmKGv3hniD/HUMrf62HgkfHuJQXQ1NZV8YAzXvpvKs
86SkVWJUVrcsR2Xfl6OAc4aCe0cZ3KXcoZsMUBnz5JWavrqtJ0zRi0n3E4cTkm2tEOkWm86nOED2
CCkhoELD+6ruYozGdrMzOiahRMuaLa8GCkNKaJtyLJutKvogWzVl1KzYUMp1q8vqPO3tKabbW4UP
E2XZYBF0KT/T8kN7FXuOj44MZRq/bfBgGsW0HwH7nSPwwVpmgShfwjTX44WVxd4ZxBRrU8SxjWwv
8M6sxqORQcF/XeqBtiXALcq4AME7QSufXpSnq7U+UhP7u/UTYj/e+KFPMctvSWcw9dRbdr7iPgwF
GxyTVsZNzibgW18pxTTWJTBLJKoU8MVLxSzwNYo8wK+d4+wUYcpvjk6HBJyxdf6rsdGT/+EuXJTQ
r01SGN+UQ52SfMqIXqCHjHVsBhSWhk5Xau6DmDnUsCykgYG0mzjXyXLmVhW2owa28bojgWVc8w5P
3F0F8RAIAfKpeUgEerQ/aZV2S/z8FNhFOne/AdQ8O4NqVhSo+U9lLbR1FFG1/9Vzw3du3s25P19i
GRZPXZRlW+W1+Za2mb+OJkNnraYU01doDfRhrsgX7StISnXmUkRNFkEbWyvXT8Blgfhi8qy7Kw9l
CC2l0NIod3jRJR73jk6KCrwFkrZhR+ruaOIih/9Xm6Ij9tbtsn3cGBTsncJW7SxkmXYEevML6wPE
Gi+in2eQ4vLyS04Zybl9+stzZZVuzn5mJoNOZcuwEZ1MEMpAJIyarlPhVNpDGdn4Lkh7VGtXTHii
HHqVLQlSP361bZK5pZTVtnXuGwXeKbvBa1QF3fz1a+6Wg2h9RgZ68tR7oETyvKJZWNna2pI1+GxF
+y/41eSdFztKMtgYYxqePXxu0Gz0NwoPzVRI4/dG1KN8NbIqXeclL7jty2Q/8UYvcVooqll6/haz
hkMY1ZuHJsGkyYsU3MAQCK5V3Hr3+QwNtiUOr6guc8p+wn5RnEUp3USmf5EC9xz/bs9AcgDPr5Lp
dtL07q3Lfe0xc0qfNquKjZWr2f88p0QN/s+RZJb1IAXWaUnsOU1L7SEgvvqG6GvkP6k500KH6Eve
NsBTim7YaHprPYt2lM9drcnn2CrHK1YqexNWobYaIc6uaADS6PcBJE+BVt8VYQYXlljxtZaI4erX
XVcW8tkCdBW4PH1DoGzBwtfE54RDG6AMwmJJMDXcQV7EzWAV+rmD0Gmdz0iKbFRiXUIJpKerSz5i
mCb7lmbXte8awRm6XLRRv95lQt2Q4mvSZV/hyvPJjYYrcOekKKcOhGWpumpBcya51kGKndnIP148
3++2ysf/AkKRxZCKFo9/wlWYNHDsjYouddATZL3ETRAyBRpz7xBdcjIOV0wK4xlUtvzaAXu7igpy
oGn2leOTjgDfWuRTH6+ndmzojMNBT70xXrSJE1+LJNQ2raBDLduMRn8/DTeG09P8r8vhunIalm4H
OOHWgaGA827KSAcyDWIVFi7IxDVrU3eGmX9C+CMbVGoKfuIyd/LiocUusmmZcNgDodo6hxaprit6
+2gTQOUGsKMu4dGU+wqh9wZPngZSPcm1h0bXaYO5GVhESwoq4R2tej1o+DSVVca4gGcDldtVyHLK
jlahkadPOnqIdVbSPhZeZHz7pViWGSpU6rX6t9Fz6XIOUSEWmpyF/Ug71xFtFKRoiPLrxHH2di+p
PqqxPqP4SD9TjB1q9syzu2GhOuT2C6A1061uo1miG0HkBYV8e3iQGuEJC9KnuotWafFyZrPcxMIg
JKuYKn/XGLHcRrqYzmLXt7c9iKz5iq7niOQlHUqaFiRKNMs2yu7NISFhykVXOJWhtuVsr2q4jKP5
dSSzDRx1Xt2LTuBoSSLtHFnbTVuOzqKQiIX6WHtzK+VsDJm/iBa9WhqP/gWXAeNZB3oFB7apN65b
9+uCXumWjO2ONryvzlHo13g4Kt1Zs0MktXyysqWCRwQlvQDkYmffnVz7TmP+GsyB2JgDmG/2bdUZ
0HpzQYvkoS/CiQ6CFuyYrbbciG6JaywnSJrjHVa3F4BqZDXH6E8BZQDbcvsgWCQCVZDuKoSwFib1
1Cm53rwEREmTw5bM2Oj4Sv+yzMNgmXRBvrajFPtVASFiO01x+DVoO2uXDAZ6/LEdujXw3uK+xLw6
gQrFtQC0MjwPY7u8yfOkfCElLV+wqmdfsFugmOscbBwGWvZV6gLPbTsSEs3IS7YyDdudFiYW6r2g
kjfSracb6Lf1PXD8ZI1M10GkN8xYh8m214NT+zjwQ+z13hRvuiqhGqen0T6ghYUKRlXfvHrKzg1P
E4gvUssjiaoIRI+Oqx2S5LzJv7G9N74MHMcvDa9V+rI2reK2q+JaW5hF29/45GCdqREpCHX9ZqNc
dMtmlukI2T0NBVVd8xRXg299k6GsAAqG03gtDRXf5pYqNi2+5S/U39Fkwqkwr0bXU1+SNHT2sCvz
Z7Diur+ocpo4+rxC2kZWoktxQ3jieXseRi60naxRz7kSFqjLqt+nVtCd99qYfFdyNtyHBg8X7pd/
0zll9iNrHH3Z2QZxk01cmHwipbMnfF1egBaiuoKpF0VCl0vOuo1s16Om5KPIAQEhwjUQm3RdeFVo
41vSOe6LSewcytvJJQcIGiuOingZd8A92ONN6J3CDFllqw3gNceamSxO411cQoMvYVnzeFlt9yOn
CrxeAiq9AY28KadVE2UPMJReyKyioMUsv6BmCxDOQ1yWGOVzLWKxSmzEF0g7naql9ekpQN129lAk
WXGhptQ8gwHDVmodZIiYBcLG0m0BNzdEpuw4Ltna26hSZN19bZ0Zre0+Ka2i8l+iPOQU00OWjvxH
JAuKJD0nvWGrGL+CKi4e4yqpXsq2HJxtqZFbtoj8Kkq2XQEJa0FCiclhSuW3Uhg9+XuzkCCpbROm
DF3XfWe2b0HvIrSjsnsxeG5+LtjZfs9L3V4S9IMBVkuupqKDwN8ILd0qfAFLpFuk3nUl/T+vKtUV
hcDgKmYztIhlGjdrsLUVqnwbEwmA5ju+/x8qh6LVsqYRAeOAzRS+mvZeAachwfG8kjiAnwgXEixc
jrEmXsO/bUpRfKMM9lXGTf8V68L91GK62DiII1YauohtTKzOVpWaWPKppfeAwMjSwcRR31l62mRL
30ZrTx9uM3Vdi4gD8IrmFnIbhrZzAQgXJURSt85ZmHmcTWMz+IZOhAwaZsKFJbQAZejgPHDUYT3B
RvTVzxx9VQbes6Tdd66Xhrnlp5g4Wyt1T18VdDYt1I6iFtZzv9t0M62a+zbGl5439duudrhj5OmQ
HEuUEvUVborwnWenC+VD1BXggtqID7b2wkWfs6caQ9vbWJoFIDU0bziDPDEhJ9dDOdn7Ch8IkGZl
r0viAl8Ljxy5FPUKZUIRX9mDj9rW0jjFmDW726GBfBN0fU4yXBOww9WoN2fqjPSl7NaPNPvGqfRg
Zcek7hlhJ34aQQ54BzDWuqbptffzsL3OrSG8SIFu3csS/wF2o8nX2i9xriEtI8IyY7pdd6UoYXgO
+i3ZMfYu7bH+FSoptmMn0nvFjLtohxzAIyEH2zptH4IWmNPg6ISez4B71ddfQy93dnEQsmKxEdwz
kWpQf7zugq2cs+8lyuomqBL2v0X+s1UxZPNUld8EDr0vjavAUi4C7GDfCj2O9XOjbP1zuujximoJ
GVqwlh9aUxvGpUYEtXdF5F9gLou8qoaFgOxkbaqcMvLSDWs0sGOdPuQZZJHMGkH2RbPllhLWA16l
t2HACaRPbFXqStR7feq/OxanBis1gTJbFoekCtnvZKBxA/FlABA1dhrq8T3fv/XiZPZThux9SR84
2LErTFeUO743ZoTcUh9hzcWsr2MPHHWwXx2OIEM8XVi1fsseihwlhzKR1rrGdwlR7lwWFsE1laCQ
AnDwOvCNXUeUyM/QFtaNpWvmbTN4P6tBak8Bn96jaTp1uLKaoqJFXaNlaJCgLLTcKrY6SYFrM6ry
la3mVBKcgyfcxB+roKR8k9yM+IRSKJyO9/VX0ZBb4ETUX50qTvdG1j3aaEN3gc3p1nMo5H9edz1W
uRc0WzChz+Hbh7HbQV3pBspdhmuU9VCZ1ZYTwLCufEc/0W75YH+dK+cE5JmSbfiRYGNvmv4pasOT
7b83v4r0o9/+GOCmwSxLDZyNKFNtd9JfiR3hRNlTj/v8co9V70k8tpF2oA9wP3QPHKGIN9VrHHSB
vLVa7JRlQJ3081GO3VQe4VzD1ml8HnIwJO7RFjkGnaW5HdLFPvVIbxwWhozLE8/v2AVJJH6uFJTm
wAm8f12Soc27kRyiXQ/EbYXK/avtFl8/v5xTYxx0d0iZNQlS4R3B7nQ52fVWutkpb/oHpRQvx69A
b2zR0nIOWaCeF7t9Tfd+V7KAXQatbu7NIqda3vXRS6jRakFMrF8HpLasSnIVzrDan2rtfPz0YJBi
jsZdoHucXw5aO9IqEfoXXrULDHjvqlD2sjeS6iLVYjS6pZev/vS+Mp7jesQ1WlBTDr+9as4JGbHn
7rJ8YJayx1snNJwT88nHd1HQQwfoSn3HxNJy0EryAkNNdZJWxHEFxBaXQJ9w/104MQXNzy/nyEhc
hGs5EjrszJV9/yp6TQSKcXSLHVMb+mKtORej81DW8dPn4xx5TIYjTR1r+9wmlnMH67det11mifBI
diY/QF/X6avmojlJiEOr/P3nI5kfm42kc/421EHfloOqPXssMfXC+F/JXAZz4oECZOF1mKe7fHoc
LRrTFkVQ4sskJT69Rj2KJhF9/2QSckULaGs2nKWzWlAFyyTSbItglz1iFixhpEle+imbQVnlJMvO
1gE2V2qdmipWe6dLh6u+aCljEe9DIiNlh0UPmu/EhUqEkgcNR1qZFPd1PgADl+lB1y9NJ014ecs9
bUL17GW5fmV07t1o29FrNrXOvp3Tk5A+f6mh0mycBJp8MthnNg7eCMzZ0qhKUHrtY+azO1J2iCEv
uyP36HLyOV1mRQJ7EzvXooqEgxE8hlUZ9KBE68509lqstctBFnJHgwuOu8JNzzjxinO8c5FItAxx
4vlLSG8k7QY95PdgWEmu0ONumRqbx6nRvzmzBPvzN+DIu8a8hHTTYs1i3T941/ysq2jDjtyXWGsu
OsMTZzz1YRfENXa2wRf97vMBP3Z+wXSiGrXw2sLaOuz84h7sur7Mip03ExIpumTrKqjVhS1KtfXd
QF3A3dQfJHyBv6Fr34f/G7wVN/8DoQpUCMFm0oZPARXi8POtg7HTwtbOd5x1x5fO7o2vFUXfB5Ay
8dsfXyRdXmYjDjz877CHTnOETefY5rusqymNYr2sqdm0+DvivD6zmyRylw1dtnHRm1TuPh/8yDTF
vkrYNMSQSNBsfj99OKhnOXvm+Y4Qi2hb9flDMFNZ3His/3gbIOdJygC1ATkJaPb7kTgINgGIh3SH
Ofh5HAmvMF1gsXUqxB+/pmw3EEwhjEKG8YHsUjZF0ZKfl9JcJL1psqm+iPi67y2bFHT7x5/eQKkT
5sD+RsJKsg6XrQB0bi5JcdrRWxc7wBt5QSOBwm6TiuQUe+rjB8hgbG1cmFB0tQ6Xr4oGcWi3GVem
yYdQaM8YyX/Eg3gIevvEHmT+lt+LLhgKfY49y7V5Ow5WSqJSojHX6MYCEFgLCiZeYaULJ+2mxTT7
blPz1G70+IgeW1FvFsAdwsQ0WTou6JBkVxndPvHK14J4dVEnFb4cG55ja178+aNDUgL9hV0HIx68
kRZcNDgZTrLT2naP/H4nZXId2fqJYT5uGKVuwZaRYkZBmYd8q87VB3SkMtl1mjmjW3J5Vg6siJ9f
zMepklEMnc0G0CX7A04HL+uQx7GR7GrBsZbjHu6P9qeT27dxpeiqudNSjMWJWdL8uFIyKhMHTjSC
Zz+QifxswqsXoqryLIgzPSHYrHUl6SEoa7X1lNPJakYPQyDW9oRcygmTZt7ozlYNVXCW0kzaIIB9
mEarusMyAweoJH7y17agmu2CaGPsR88Ex4R33zrx2x99MCC6eOMM3L2HD4a+ZJhS3kx3lKjydTx6
8V4bKHZ8/mA+zrDcInSVjof9Ahjg4YckK5aRoEh3BL0g1S+6nZ4YD66jTu1ajnywRH6wt2UeIozt
YCa3CGTLyypnIhpKQTfbD88GWx82n1/NsRmI5HH0iC6Hcu7d+1l8AjA4BK2WoCDAe9o5LFNY9XG/
Nek3nHV/vovmzIhMlCVjphkenlCh1NgdqouEs6P/Y753dWTfZrX//PlVHft4XL52B0kuB4NDwBZp
NLkxFXw8aWS5N8loUGf3rR9UXItNHVju9z6FhYeKpTmxVB2b81DESvbV3pFDD/UTPRQEnOyCwLxW
uYaJJNiU8VMZT/dM1ydGO/bCc+wxedk59n9QC5LOiY4MyMiOYMRkS2a6c9ub8BM+v5kfyGqQCnVu
omOyHAlkzgfzqteaA9aVKtm5ba8/wf8tNhqK44UfA2mmQO/0j2CACzLLVHddjXlyZaWO2IYuwi5M
OTbdpbhcGRU0GJyUNGVb4rtO7EaMo3fewdfElwl19HDjU/uNbvVZxmozSGqFqno1lFcskZY0Z5Hj
PrcD1QmnDKlk5iJ6SvquOSMG/GtIW3eyZ05Cn5FfhXZ3YY9aufBCruPzG3nkW6OxxRbUwe8z7w/f
f2upw+8QDWy34Zr/KCcDanuJospPaWKPr5+PdeR2EI3Ch23NilV23e/HMuFE6RJuyW7yjR86BYdV
ZumvmNLynePl2GssW53YYRz56AyDsj07GlasD1vsrk7HoQ4KLi+2XsIogJtF655iZj0tBByFx6ru
qxUt2W7359cKBxY/HDsbQxzOlFLz0By5TbHjrHaFG79GnpveIksOYFAET+RjBCfetmNPkltLGcA0
OP0eokv5VsA1yKrYaXpQLUkvoTWZC3XbgyfaZTYH6c+v8MiawwWyhxIsbGwWD75Agj1ILy24tUMX
IOGWJEnqVVGtBLK4f2coD06Na7NhBKz5/sUpHRmpLOeIZnhFfmOlFVwFR9nnUWsYJ6avY++o4IOa
fQiz5PngHe3QxeQTlYEdYTMP8LfeLKt6SBueXxRUty74mT8+HDGBYbowQYaiIz/8AI2BgrvZTPlu
Mslc1p3+rm7rVUkd4MRARyZmtMUQQwWVZ2wc8/P8rYhTTvjqdaJsdmlgPQfDsHWn6uHEKyH4GQcb
+ndjHLwTnhYnsSTzdYeq18DfF5X7xmqsO7O1wb2lPbF/gY6Jua/LFZHqwWPR1w6KARo2WP4Sin8t
kqg8ot1D9ORaE4YBWgluSSRUvZ+kDG9NLxiW+YiX2i/1fJs1KDQ43Y5EuwQ+MSxEg076AFbAmLmD
xG4YdzgMUVzkBuSrImvqrd5VvscBagiu41Rnd1jMGJckwnM4OOEWYP54loJ2uOpEmF12uLR2buI9
REXSLLnDySajVlQvQtRCOxRK2aLop3Ltt6GFYjDpLwopIniEcbv5/PYeezdZxR2D90TMPPH3TxBI
WaVGm3cTreBrNahXNyyvpdA2xLSAvyDZ5/Pxjn3h7LnZ7FG+Rxl/MJ4VjnklgjHfqSqca05XvZmc
9So/sXn9WPKb2eSmoPBHjQB78fvLAg0Winrw8h1K0tuyjGqEQ+73KnmkE3VJV3rZWubXoM5PHJnE
8XGp0nJHOVwfbsi8EmBl2VvURIpxegkHHZdQLbVb1O56uqZxzhmH0BDIQUlXrdIcpRD4KSbyyuzO
LKS+VtxrZ0JvtY2hZL70UYfxwpVbjB+0sbz4m2V0HNQH9EDA44KVpwyb2oszEZ7i35sJxB13soiE
UjGR9GrCSB/z+wBpKt8Qfhs3sZtOWwil1QZHF/8+Iy4obFSMZdgxnyphnXoUx564DSoeHj1lBmHM
t+y3OSLSGyvLkw7LsXod6S4txl7fJobqTrxZx+ai38Y53Bh1ZZelBMXmO9dK9SWpwe0yC8P156/v
sQXRhqtLX4F+2wcruF4R1VABWNzRdHKX4wwX0M3nIsE6HTbjCdPZ0cGoV3Jm8XC3HR4i7JrJKCcm
AxGOnXESnbZw+TbIwBBUqujE7Ts2Ecwxh6wWWPY+bH7TcRR2jJRiV8f1LehSso398ZkgjDcVYd4K
7RN30jj2XjickjjA4qUiZvH9ezE1Zcr9ZZ8WDyncr8k09u5U92cmtfhVIbRwJ8sKNkvpibsIU/Bu
DFA2B0WUX7qBm2y8Qo6PDr4ANNp+AFzy8yd99NdjQqSMRP3WO5wY+8FvtCRkm9NX5ZvwgqfQ7O5T
QTP53xjHcTkpcvydfTPvb0PTaWNYIsrZcRItqeao13zUyG5v6xML6bFt6wyhp8Qy/8U5+A5F7yHj
RoC1UwjHwwadW5/f1oW1j13jOi2qhyz1ThQqjr3Avw15uGGNJ5ki1NGzndYP26At3sihROFq7+ui
O3HmEMfe3zkyg1o0wRjUkt7fR9W7ssQonjHNmONXFZY/offaS6B1LslToI9nks8yY0YmCGYWHGvG
LM+qUf4AIXwm1C589iv4k62JbBlrC2aDUNX3weQB6s9TUmj8xt0MTu8+uRazJujJBtWE1pAkmMyl
zcL8qfcmmnbIRUOpf42L9gpPIgGrbPkit+sX2SiidZuN5n2J8pLF3rROvE3H7oI3O3UpcfDeHjZg
07SETIBIeTeV0xlpasZC6fIZzMs5NdNnFY39iQGPPeLZnoFj0KHYenjby9gIxorN0C6qoAN1ZUu6
8i+OkAjA4C2aWZj6+Qdz5BJZ12e3MdAQdu4Hp0vPhgGgTJHu4CnLdViTwZiH7NDGuGieYxIVduiQ
vn0+5i+9xsEmFO2NyU3lE+Voe/B2BRohaLabZjs7m7xl2Lf2vQyJPM/FaJ2HRZo+QUuFUiSRbP3S
KbtwD56ydgJdiZZoq/WAd0/c+g8hr9QrUCVQ9ZlnbefD2TcYrKn0O77oZvLRs4lAblCliU3j182W
dASx4E1BPmUBLA7qcDnSk0F+LU+FBogjc+XsC0eOQboFjTbz/benI42wMxVl+JZjgGe/xM2RAFKF
wDK3znlczhlJ7OSv2QjQgpQiMvmK9FEhf3U3vej1zTj6gKEkG29TTfoL2+J8G/a8UtgmSE4fPGuL
LvdtRJHJlN2tpR2HawSDkjT0XO1Cu3LWRDE5BFidm0Ui7hMQGNd8tjhRRj6E59BtvX2qO1908J0n
DubHrp8OGB50uDPc1/kj+W2LQ7ktThsluP40Ge4BiiNIs4foOTK0cPP5m3hsKNSXaA1wo7NsHKya
NJ1IDpmXJXDh4aqs3NnSM5TJ3gvT4PnzsX49t8O3fq7+Ck6vLIOHx/9cs9O2zyIOByRiQ5enYYzj
Y5LG1i8Juc6d1Dg3AHbcqMHsr0xTC25NBedGirTcljngtV+/0P+Clk6Blhy2Br89u9Wrev2Pv8EP
V6/Z23/+n7uw+PH2H2dN+pr/+J3i8P/YO7PmtpG0S/+VibmHA4nEejE34CpSpChKliXfIGS5jX1L
7Pj180Bt91dl15Sn7rujw13dbVkyCWa+yznPYTi1fOEP0JL4IAy2bzygHGQue48/UhyWTQKCGbzm
f4I4kBaMBGoRWTHuZdzFA/kD4sAfZxLz8s5lsv4JwAGBAp+QPz9py8eH6S4CNo+d008nSA07U+We
x6AJjwgNT1SCBjTaeBO6HtoEw3oe8r4/YS6OCcysnpk3aDf64JyRhQM7z+doCWM383uvz4sLzdYT
cXph7OOfTADRAD2bOw3nkyBNzpw0Z5tMqI7dxjnDp0yhl9IYjYN6xVxysofsBJBnF+DiXLfK8lZ8
CCw8GB38cxV/6/QuPue8jqvaqQroMWR465o7I8M2Bj/W52Pp6Rdb4D/y1PBajsCoLUwNk8nwQLXx
N3Tb4JXogpdS4exIskNjxBdVWHzz0uI0iJ5YOQskctxtTSM9ddN8MZPpqIf8LpVo/hjFr0CgyKmr
5zerTWHgiMVq/VxjbymzAIlJHknKGXPPwND2B73xNiUgYyjU7lm08jnts1dHnwXdxHDVVXpaXoEW
iNHaTLNvSVWQnhC2yVZmxBXKHO5hF6Lu7Yf+EcX+1S1Ge8UoHaVt5r0BcPJ2S+4jWs9j2hnlzcy5
u9KGhhcG/COszIPBGnQ1piM4/ek6VOZzJNNDOGavqk5eiaw9OzTsto/LamPyFxpA7SI0vpgZ79Uk
22295Cpoi3MLB6w/thEGQyPEDlLyQhkReZMYOPCgEGe8iVOvXXVERMN/BacTastrGeWvnaD80Sd8
vS1Am8XRtQHpO22AfF6GRr+0xrDrovlI1F++0nr9WDmltmKP801m/DZLxKc0HY9Av6y9i/7dT7Bx
4DyZnuagBWLQ2tk6Zn+4Thu+UR9DSY88c75VVnJgHPCkTPITI2t8zAmWHVES0KVi/kDA8Fr0g4da
aHxzy/nYG2EMf0fF57R2nuNR/+LW8s4bYrFCz7GdjHY/W51iA9A/zjUh0XHV8qDKfZjzHsHQz1Yp
wGxcufPRxn+7GQbeTw/ww8FzeBLI72x9sgYlAG/9qQjFmycHvNsjYOg2RK7q9I+16h7NMfuWo9Fd
6XbZrrt8fJQBOP80buGHG4DPZluLVkLE8er9dRcF9jbPfC7rItnapnXGxeJs2+Xr+HtyTTk8injn
YuI79ouC24fwc64MRPBJwLXhJNHEdR7099LmscvGMFhNtUmggtf2+9qZ+kNdWv1Nk9vuzdhr2l0a
TRnpF1V+V6BgIKkj6+GD1iQRa5l8a0XzeeoVjlyXEAyemjKuqRcIu0zWXl5LEsTn4TWAbKj5YYVB
eAfSo3hKi+ApHzXgTjOeP/CPRrwao+BsFulnhZdoleJGHiNoRbOM1xV2qc3ijxdrIpntxI9ZDhzc
Etaj7dRnssgvBQkCG1SwT6UmwlXTWdam76xXjP/qrShwZRHZQzFjk93p4EqrZs/e5nHerY0J3LFo
rZZkVx7/OTHeSlGSssKQyY96fWWPhthKp+R9m/gIUG7iXwnAyI3IZu9IAut2o8FDN6XOs6PZ586o
B6jq6ps2KKSK6W9WuUud8+dTnE0xulxz2aJRlP5UB8XEwBLTkZZ7syczXHa076R+nmP8Eqxn7N/U
v7+WQqQgcaEtQjfc2j/X5DC8usKenGIfLmnwhUgPBu5S38ai/Zvv9GvrzGaJcotvtkwDfu6qBscZ
ZULJszfa9NVbKLDLcZyIgTABhALlDf+k/6bQ+3WSyPdcBFyIZrDm/SzyCGXhRS5JGGC1rGgDLPSR
jJJsBSJ6P2gEbSx/XwR/R9Vwuv2hdrj8+w37Y7Sh/HXkzvdmJQ+zhEHtL2ufKiXLJJncZWGh5Dop
cxe2qh0tx8UxKZN0j4D+bWjAb7Be7A9J3/C59VA+qmh6ixjLh8V8RMrErYtRyvMI1Ek6bN7ucBxs
jm/SK6tVSsBIXSYnEu+3udVfxzx80rFLr+3RPHfwjVdjSZ9uWWX1EiLLWpkux8Pf/03/4hFiMqmz
J0Eu9Gv3amSxl5eGWewjo9mapX7BXXUhyfe3UvK/ekXfl8qOtWi8f2laB+GO1F08q15m3kDCu0wi
NjdwkKVf2F6COSE9taHI78FlX5xWz++JuYxX5hx+q3vO5aVUSZYgGmGMx1AjQsMbukeI12epelbQ
HPdWFec4wyJ7BzR2fA4tY9rloVFtxniKj52ummuRjviQuPY7IzYPbezmGwjR5dEs4m9BbNlsLDLe
xdEtd6OWfAvK+cklAWluAcWhzthHk7WPooLUzRxTi6zGY0pcBYrR+eJMmFGBZoit52qflZVOK0dQ
Y/39G/YXJwzLSKxOgiGWQewXJ9AfOi1yzxi/apL5xoAFmXJi5GQj5cD2tUH+pqujUP75NJMWcCLe
LQBjvwjJlTHFTkYoyt5K+6vZxAf0r785MN87qJ9OTIbJaKuWX5lnLD/DH/4+cVSnbabrxb70+mrb
xPhhzWB+W0564qFxCwEDxi649zTjPARetHGKDLFP8KlJki8gdMnNQX3pu1ki933CJR55nE7VlJ/g
dX6b7UGCWIjRh0h79hOLZUKnz81tFtub3q0+uvAxoRe44Y05xQvngbqF6FeSLXC+bQ1lLODx2th1
I8hR3Yi/WQWPIAa8E4kGxFTj7XHthAJVQCC0BGx8UIqrXm+vZWFEG1POv5komn/xieW9oBWl12bn
+PP+CCRwC1eaoAqR0Sj0UQ7Qo+2o4EkxPgkYwcwUsEZnk3vOLRAtQaN0DEo5Tn6e5SAtNlA2u+0Q
YNdubVGuu0h/Bmov1xCcZj/t7XPQMfzuAuscAXZdW4qTqCJYbo1t50k3hjdEyj4QkYdRUh1CEsJ5
qRFlEOlPE4WYXwVRtZPZsAOCcg0tG+aK4vk0cWn5MIkITtOgX+eEWewMa37yKtX/JkDxLz4kC6iO
f71vgX8exwwhiQHtwMaFSJQ1JQ5ApIEfxwTQGlS/Exyzn//1c8K4ld02M7ll/PrTZ7I25YRLhwWt
MppiI+yGeWmQHAJuKk/w/swlj+Q80SD1BscU1JBnAJMAKigAuzKw/bLwKgKy+nrjgWv1Y2YpPl7v
L00qbrXevcu8vFlFHtX+WJRyLavmLU/m65jBzCUiwF8es1Cmr2SJUKUOMJdm/VR3hJiNpQGVBoJH
m7jblrf0vb2czVGuY4vfSLTKwdZavqIa+m0VdK2fzS0CNHe8vDdBQTGW6wF736HohseYKfPaRXq8
mmtaPWseHlWL4W8yPd+T/aORigtE8YNcMuiE063jhRe8/IOW878E/fJAVh3UKlM1ZL+lp2a0ILMP
j6Rk0EBYqcbnqdJWWU21pAfJaaxTqNkVv1uB/awBPqyKNqhvPWt8U227Hjpe4CSLT7GkZyExhCsj
M5+TqL8O0rTJOrL2fZETfJUc5ryufQTitD9tdqAp3qG3KNie9zyYfDrsoT1lwvoM4Kc4pMI6902/
lujmV0tjNM4qxrkPHotR8DlrzWdDxb+7j+2/+HhT6yyaTItdHui0P5+H2SSTmtBlRprO9FY0/RXN
5Zn6ghfP4mO91F/vrXbZemLbelR675/5Imq309AMfp3wZfBIocsj/vFSD0iCkg72SfQrbNqQA4/d
tM8ECe19TK4NIPcYU1IWvpFS550qvKnrOeRebOfIuy04y7EpAHrWOGOSdnoCWh5BUZdQrvQYu0PY
AupyqaxDGkPuw0hizUlCymwn6R7bnhMUQ9RV4TRfYYA89V13NckI2pXEfG0Iz5DrepiPhBo8JgET
5Fxos2+V05vdkNKkqvYKdiDZp7F97rlEaDK7RwnUZKnmW+fH/frfCdtvJmwSFTzP2n9gnb9M2B4w
7Uf/a/1KphAKtX/P3m6+/p///f0Lv0/YPPsDAyx8JsB4LIuNLX/md04qirgPFBO40ri9sC4sPoIf
KHPrw7t6HOvG4gBc3H8/RmzGBxONBEbHZdsMeNT+J2M20IN/PqpxMLC41nWEVUx1F0/Dnz9ent5w
egS1djRN0d+7mJ42s4klP8/mdOMs3g2dGL4rhql+h5V83oh+8m4ICo/WYVoOj1Nq50fZ4P4Vdevy
VOq9hTwyKTAKiWTl2EW0SdvwGlIrmswgIKIoBm5m8TR06WUwzNZPh9Al8ovPBY6Ukft5OTvzgoRI
0pBCvzYz46EtapqNynDosMP8bKJhfCwkrvHGac311Knsq651/uTKj7Qj3zDVwMgLunsyctprUtoW
hhCLTEGZdPk1Jp/rUFZufZyciPtnrHP4AXIG+ZwV4+0EMugmh6i5SZK5JVYn8LZt00m8SuVsr0Ne
zrOyUan7wFGCdT+OVQ6Qr6bTnPRiQhik9I1emYSJWbV1qyt3n2XGtdIFIiROqVOeiiMRjjm3kdf5
odsam5RISb+u3WDb6lW+4oEpNy6hBZA9UyaIA1Z2sCAr3qz8OLdmunUszTnk3JygVQJyJUyn2o5G
CMd9LKSwoPSN4QZW5kNtFfV6mKInbxLGR8aW9g0y0f6lENAnIqBka32SZXCu1GToABGjGJpSTWSG
fgRWJOeHQsk07TbxULraW5qNgqKozDqNkEC7SdQy7WyIsbJwODGOa+sWIE0yXWtZuGcv9Aj6GBhW
jb6aCBba5YDw95z3487Ji4K7RpjO3ZgX7VWjx2n9KdbyqCUKppE9o6fYunVSpa8SMQIY0VJSNuHO
oLRi5mumZ22KIUJxl45jOO/KSs1KnUpuPy2CBgN4wLHAEfSN462qfizm4uAERWurl9IIrKuaYeWl
vgckAkkZg9hSJcN90Kb5rqhL1wnvpANJYdjCsdG7eWfOlWqvXkPGmf1x0LtGf9D6yXbDDTrMLCei
ZgE/Glv8je4Y8wPYrLrHExElU1Vv4dYV3UpkuvhUutV4P4w1pc2UkDS5NWKRwJTRcL+xBsYRp3UN
Y7kY69YTuJUFkTA7YD1aOx9PKfnjrl94NbyjsJ4Z+RrBtcgirVpxktQkJaZV9ARdMc3PWjIZYpVX
k36H49but0xPB8CBdcSESLRFQUKAiPZlkbFX41oj4dbtpgcST50QgJ4aP6Ukq0HJqW35uY5MY02M
a3hXR1N9Z9exSwxfxcUXCeI9+QH0E3GG1iYPa+DgRTbvcd5UF7tRxZM31niknJr4Gd+cEkIBkLWS
SZMk6OlcO7hxK0ejgiK4EpZBO1proWFx9XVROLzlLNSXbqWdfBLWDaJAmvba9U5xwcsWAmIyAa30
1p2XwKoLMq7dKqvYpddaOL+8n/L/vRB/cyGy7FkK+f/3hXjkDuze0umPl+H3L/p+GbriAxnlAsSE
w223LI6+X4Wu94HhIBIFhoXOYmr+n6uQ6A4gWB7PNGRZPIw6Y7Hvd6HkbiVvG/bA4lj7p3eh+KW7
x3q8qEXeJ13IZH/qWojPiRTpD+EB32IbrRYl4f0gCM6SA6yvuHa8Q69/SVCu3FS1aaLCK13v2pdE
pikn73eyFvVOb2P2G394Gf9i+oZu/c+3NNNTXhILZDCKg2U69VMRDMtkslLDtW+c3qrKO89L9TtA
tB0/gxZYlLxd+cBJqpnUj4T0hlgUtIogzZwLJvjqIiq8b7Bb1WpTTU7ufJorjajGqAYfY0aNeEEW
x6m4yfqKKKze1tx1BuZRv8sby220tWm3mrsfaM/WJqiNlqjlbDBTKFAmp/PHaOpD8pI1cpQhuWb1
1Q2abFqb5AQjUksL7+CqTmwIfCQNU3lE0HWR6jbe4MoL1NTuo1dWmT+oOu99HFZZ6BMqV3/Jp1y/
moEsceeQbZes4ghGiO+CnxIgMI0oO7SyzNJtDClhuRCkeV8sEbvEK28LFTyNwYKejGd1AD8D2bWT
zVusR+rOyyFY2UlzFGF5qEq7eXSKGMabN047p+naYwC47DBqvbYm6qRWcCIT+7y0tbdFGG21mBPW
j0h9uRKt+6LLBNZgjFcT2U8WPRsBTCcfLt9w0sJSu4cB7I1EJk3NZoj78TZ05ge9C7M7NXUx9DjQ
L34z2AL8TqqZX1STEwpVRQ3zE8ucV53UY/uqs7C49nFBqkzg5hernyldVlKJ9CSLrKHsQc8Bw0qL
7+a53lCYEBMIJOURNwThCpEs8FBV1i7L8mJbOS2h0kIhiGykbuNuI616lAGJ4bOn+XLW682oE4Rq
zu1AYRfa97zq9dG1U4g9TqYfQuYMh0UOeaBQyMJ1UOjZc8V65bF0qL/qQTjWKu206qFu4vksC2O8
lUiovrIztLdm0NabvOZvr+j/VxkrGeArcBmg6vQmATncjX7FLfaa8thjoVDjimtBQblblpNOP5w9
w+yP1tBgrMEzvYP1lm1aDQKQQWwtf6FWXqMWyhrDLRzpKo54pFXuBNuhZxdHt27azxZ/yEobM2A+
rtdtLG8Qr2wQo1WeTNO/QE8GJ5QV5toFaYb00OwHWG2J/dIY06xWAVCHG6O3E7UuBzlFEB2dYoJD
Be3Gdywosb5R545BMVdDk8IUPnF5ZqQ1EmetPVpgNInf0zJiyEYljl5llRaXpp7doN1VMNpEFt2G
qV0cx2jg1WPLOa/MPgGp00fbbDKsxC/cwHzLB3OwmZEM6nEequLWyzyPl2+uU1JlkmArSwoKw2Wc
grXH5aYMMxOsYm9nErJI6w33TqHH1s5JS/smbdVHLxrmL04/j5tgaMwbz14SXu3Jy9eV0MozJ+Hw
0keTq/zKtSfdz8k5FWuU7elCYyyGiUBr5cDaJdx2bdWkSPolHo/+LPMK77uY0ZCDgAR5IHrWtrdT
6bSQ0Ka+vynJlLHWDYdIvkrIZbyzytJWNOaYyprMHO5t1YsG3y7kb38qmuzO5IOxA9CM3hbuQKlt
VSMqWCJqts82xwGNtJcRiBdk+VNAG3GNO9mWGyIJ5Cmoh/pWq1uy6xxJtA372fLRKVkVrkUXm2u9
5P+3eUY9CKpTdOhnS50GI4ousTGkH6tcFI+u1YpVOHU5fOsh3XA8c/gSW5S+JWFLlkkMRw4XK6vs
SxNPmfYM5QSU5ljX3tWQ8LI2jp6HvCmVYu1h6rn3LzXL+oDxengJ3Shb9bhsrqij6/1YAprSbE3B
ey2jvQ7nltxTyrJj5PXJ1hl69WBJ0l98dmvRPZ0fSuQ+j6/ONOZi36gmvODaqCqw4G3KlB5082eC
XIrcNwWEwZ2akozoabLnI+a9pOsQk3NqoU6WfigG5hyYyshaSqc2utPGlsh7Yov4dlnY9t84370r
0L1hWzt289nWPL4FDcB8a3I2o6+QyY1KDYgvA/FCnA3jTeKkwXOf9oJfeOg45/mQp8BO6aSoSVlf
RgxU9dwoVkSZO7citLzQdyYjSn29EfXBG4c4uOnbuju2rg0hmrcN5ll0zHUFPqKT/CV74WwIEn1L
pD6sF1HoKq1H+RSLtrpJKse5eDIij1TmbwY8UR5EK5V3o1bdJgFH/2xlt+HkBm8jWz3P6XLftrRx
xWKGtGYdrFdFEPR5InBiZ5Ya4aTzPBp3BR90GOaxO5ytztAZNHX40CLgdB19lh+7uvaZvWh9rww5
Hk2LJheGS1S8MCvo3+CGNcdUWs5a5eW4W+qSL5mWlm88pRYsvcmJOToSp3c3pBVFt00JFdDnOlVH
6dZjA8wtcgjGamYH0vOkkRc25MqT20lpcbkeZ9QwdgIxd1PbdfrFbJ0wJSeloEsLzZCgnaTRMEG3
wKBH4oed4bVo3k0CadxjlOh19RI3UfrENIO3K3plfN3fabqZXifdfkihLe6SJAfxLk1FDD3py/LU
xOyV6PCFccfM3byhxCo/s81ut22nASBsdd6vAG1ByYclKT5Lq875M+P+qwE1dKNjgVkuUZWf3LoR
tyAKOY7HZppX0FPB+1F3EYiWuS0AODTV6avwHHiWsPZgBEoTEqhXIWwONJrwwQVAJacxiIDOBwMb
gLLOr0Okt2cQ1tM9IByG+QQ7y7XdCAlFMjMgwjbNNfQGLmvLtU6RBbMEjqxh3Mbgvqy1NzZNs0Km
IsHQ5Wa48TK4fQHeoLchGesvLgsUuCizRg6VCWSeAtMy1CZPkE1MgqbeV4Oab9wELg3QvM6+bQkO
Nf0qzjrDH7XZYaSRJP1tLWZCnAbOkWSlCtO2VpQn6pORkK5730szN3cdl/49n1pWGjrPQADyILMP
faK4CfBLFfU+rXk91+MAc5ur1aT+KjPpPoyjQGpfO1qzLLTtI3YpDtrIkxXTHztLTuxzU5xRgZOf
SXoan5Th1VchB+dzHbjJrrSBmqAHSbU3UwQaqgenLnZ1o0b0M2GuA2AWM1dG7UQdUcKVuBhxGOUH
t4q9u7Bzqm9eoeO9znRQUJWLcWpJgCcbT3Y2Ggb6VkkGMyza8rtx7b9t3W/bOrGwEP6mrePD/dr8
ual7/5IfE07zA8PNJbqJ6eDi/aZ5+c+EE62gZeKJXRh07OZYgv+YcNJd/U8bh5mFkSG5je+aQvFP
RprC/GnZhYFzcUJjGMVchOzkZxUIQbosP8PRPuZG5YoVs1QB/xRBBlO0rtHeR4PGHNA8pfky+SqL
iYGZAhhIcO/cIg94wPyga/mhaWw8YxttHpUZ7N2gE6wBZY9i2amzuTqnEQNfZ5urngS8c6sTd0BV
YjiDuTLJ7mtD5oZZbt/2Zt28IaG4b80Yqj6ZOg59l+1sM7J+pm1TQ1g05ukBySBYdNZNccW+VRR6
7bMiTuadgVtQvy0g+kJMarjafEc1xPJktFL1hR4wfQBP5b0Q0yyjlWrqTqwUoQDV0S5UFGzKyXsm
/NAs+RaTPW9G2qx4x92HG01OoMDZUbh3aV3YL7XjDGvNK4fPcW8ml5lkjm3ZESeLMpuPdtIbYwtq
ONJQ/3Lf7dI5z26SLos+241VPxuNNEqfPEzvjeCGt2yczq6uktjv03y64ZeAhYct72Ir1tGBwD4F
f+ytRhJg+D2slu87Un8HsKiTTvp72BNXWTke7seupA8zAxt4kLD6faHN+aUTXfM0Rnlww1KK+PXZ
me49yvMDAznu7ik2Ror7QIv3UZbEX3kerPsk7Xu5oUzX7iChu7vRstW+KUdxO1AfPkazE+9mtwO9
NJvOqh+JF0do0hon0+qNT1qZNUsykCHvSnOJdyf5eJUTanTTx2I+Zq019eu4g9wrjAJae9Qb/qAF
I0MEsPQZphKc+UE9f9YQrm9dAO878jzmGzMy5jcKHeCs1K8PMzDMc6fV5W2phR2xLrM23Y0d4E0h
tmNvQu6DWPz9P1v0AH100iyjAj0a67mDbbDuPbNQhwRWEcs7nCpDxsKaTWHiscbXrq4m3IEYzQHb
8bzRCQ/V3/47KCvauJ1+d6IueWd/d6LeFF/Rb/5paYScevmaH3My8wOSBhfQDkeiydD2Pyeq65Kt
xxrfBum1yLWXGdqPE1V8cBisQR50mIcxrGO+9eOEdT7wUdaXL2NeZliO+09OWKQoP4+jMMHxUyz5
uwbGqp/HUZ3RRPEcgbljPzCuZZ1lrzSaFF7dexEWvRdk01KbNYhuh1UaGuLWXmq3+b2ME0tFFyy1
ndMhxJiDsfjsvZd+oZei0earcmorasOcmT1pQoG80ZfKUb0XkQkL3NMsMkBA6XuZ2XgoNWPbfXAg
Il7V2PV3ev+aL9VptNSp7VKxkrdK8Tr3WTHvUr0aX5v38jZ+L3U1uZS92IMpgeV7OVwtlXFERAJz
cJWjNJgMxUGKBOgmZZTdYDT3OsimsOIYMgSziS4ENQ8bFIw5K0XCrfATN5G72otmJjNLnS7fS3bo
iZTvWpHZkpE/VX3VVNULBfB87ppJ54ah+g+9Znij8aIjaGPEfb2LkjpeOoaJNK1XIzLoIhKOWsYo
275bMpaWPmNcOo7ZGsuLJacS+7k7LucgcMMdSaXp2ZX5eG9m8j23ZD3R0nDcE4tQp92qLzpsx+ZE
Nx07F/HeCyV0RSMIV1+OSP7g21QU7kn7INmtr2MK3o05THIfzJXIEK0uKbpt6KyTae6O7ntvNi9t
Wj9nS8f23r2h/XRu3feeTmGiemIo0D2wzFFM8AQ9YLe0g/HSGLZLi4h3ut4UhafdDjODlbaIkYfM
EwU9cuHbORTdpwxqYc2YJVcc4ao+Rq7bf/MUzHk/nJYmlclBdNebRbapahAg62LwYI3jJ1v8Awxf
fG9peeul+Q2bsbZ2YZyXuW8kQ/MZZjpOvyGoWayktQwvBQ4msUcGEF+jKpWfWPrE995s8d0oS9SD
qIxkS6FqHsV7fx4trbom27DxJ/p3Y2nkh6Wlp+7NVnaejC9aEaoDN6D3r0ENjtra7xMBqmqmA8My
KGD8yMygaRknPiehtC/R+1Shp50p2F/N6RvQROYOXWSkm1Cf8zWJWmJFKkfxyPuYfhxEE12cMWlO
zTLIcN5nGmIZb0RBYa410OCsI5fxh7sMQijimYloy3hElKF5qnuzK5ew6Iqq3yEQ0B9yPuUA4slx
WNp/RN4LOBJ7XnXwekbg1aEsRPhvouaU2Nem9EY9uy1oTAqyqhutnff5QA2GXU0PrtNAgMMhsqJk
Xw/2Rbj4ISqT3lHKmNAOU3n0Y3x6Ng1hUi9B4LEHyoI+Wzud6TWrtDKIKGFa/dB1Vldx8RNZ3JpT
vUKaqJ/NKh9vW8uOmBMmbATLBj18OtGiBX2KdborKP/kdA2akZlc3PfZxzEYZH5rd62eXJy4IZ8Y
LiV984M5N/TS8OPIKD4botb2Q6eeSEYY7rXUJSV7VHK4QYJ5IJnBPpVVpXY5NzTi9cVmj9fznt2i
cdMlpO6VAFpI1miy+0FJdc1oFCHlJ/E2kF7G+p03EueOz+0d+4Ikb0ROfpe36E3a+BYBD/tL/iSp
ES7hBIilYuPFDogRsBLtkCQMG+pS98lEb/hjtGXo1JhPkSnpvhtVrgQvC0lMbnMX6+aL11UhMW8S
X8jQa6dkFsE+XJruqdM/FQxL/CAMeJOnr6oh427mNQxa1L+x0U4rwUZiqzfRx1FGBRkb5RPCdbbo
bvVm8Y4hODWu+kR9HWCCDKW6s4ckubR18UzMBvFO09GJEUzneklUMVuDfHTa1aBPua8Pab82isWT
g+bQ3TN1TfEtLsMhRECOP0f2iTC05qBkc2zxHW7JNel3huzNtWgmmHtYzfW146XRQYUO2p5yqOaX
iG79xPTI3GKg8A0eo6PNu32rh8rAu9MVV32sy51mFdrOxC64aqdyPiOpT5BGkRpIHo1V3dcTIy8J
hxc1RNxm9ylRC3e2p746JWnkaRyK45x7NUlmg5sjBxjFcszWWs4WYwofHV2Fa7ZhJUR9y9jMcZOv
QzucztmImHbqhfo4L9oyzTKbs+HF95bSaj4S8OdU3zfnXKX5SmGbfOizILi3jIAkOYL7kAvp01ry
NnkBM6/UkNFrNgavEEbre6NyhosxeuMxVo282rFXPHRDSbaJtA8NW/nV2PHokDf1yWoi+BMav0QJ
Ydzow8u1kTLPGPuGAtJDjdGN01ZOs7ftBif7xmS7OM/Dpunm7nZocf1h/WzMM2eMdpu0MbkodZTX
RHJH2bp2ivSIVUGurMCodsxPojeToE/C4komKU7aXXkIs7NX6tklWdId7MJ2NrE9N2sh9AtTFHNN
1pe6yWcpLxlgrrXWTdWdBeLUwuWxqYWWPpB1YPh0McanlkiYbQNeRPBkRMwxqQuAGphOsaVToKmy
pL0TlYqPWm97B6sZpn1BStGN3XJFEixn32gZE6z1f+vk/586mZ2m/rd18okCYvk3NJY/jh++f92P
Wtn9gJCKBbABTXTZHPNHfh8/eOID6b+WZOH8nyp5cSr/qIr1D3gbCRZkzQOJBB3+P6mKlxXsH3Xb
nrUwIUzhOAwyfkU6dToB7m0fhTc1OpOTnqtpJyG30L4SLCXWehipNwrT+q0iKOo3onHb/WnmQda2
hbZXAOmQOCb1n0XQiI9rK4WHd8M4cT4xzp23mtEYyFLzyl1bbaSD17EE2RiipZYV9UR0Ez1wAUao
nD4yDUEJWoaNEfplCkPM98RE3lQaGONFxWa6ZrZYvRBtp1inNUmMjyyInanbFE1lEK/WzifPCfU9
PyUe/ykCt3Puo4IYvoTrdVWDEN+qSBKHl5jSvtZL+qZKAvBQwzBeZmxX20pGbF97MziU1sjrZhdj
ccuPCVGFEW31Csd63iICT9fFYtycOpQrvh2ZWlHts6kKO0qvAE/nwWVfJvwJ15vztQ9laG8Hz9GM
J70PwniTo8vkhCTiy3qJdG8iOMkbvDY6lq1MXUlhU1fDpeZGID82JJDpzEo0crclLMXwSsaAvdUz
ZKImMtlcd7dG07f6WoswJd2wged3hmSAOc+jSkmGs2vd9kMtjTm8yNhMV4FonHAtBneW7kqkbH0R
CuV2oKPkrIvwSz5P4V3vTOWm1Gf2Vg0uisoXYe0+c9a22qYQw7gZitrZdfa8bvlvfqn36s1K6v7s
uIlONaSHck93Ie7J0EKsTIjaM1g4WsNsl6tcPwmm+TvX21aqd/8ve2e2XTlubdlfqR+gB/vm9fTn
qG9CIcULhiIUQRLsALYgv74mlXbdzLQrbb/fB+ewc1jSaUAAe++15pIAMUJ91VaMbXyt7kkRcVkw
KmKyNBB0Zc2JeBhJY/tSqKB4ten/ws6taV8DvNn2eRH8tGojH+OuJ4calQ8xQVZyyGonP/eIN94k
w7DNBGyQWXpbnzlu0NQJ4J6OUz7SlikeRoMQaRNZ0JrrSR8tZ+IgahhYJzOD+RY3g5Uk3fegccRj
BUNzZ7gVngsIA3t7QhAXEX6z75RfbQk9Kr80Y1gj/HGyY2qa5EeYFppjCDb5/WiF+j0dcTjhXZnt
2wQJerYhh8+6QAfipxiF2Q9tp6iBtF5ePLd8lpbiUhWmKt26fvFj7fW/hDEPlY+c+gDRwj+nBaPV
UJvqzNXvpwAK8r6YwtknatUrsCf07+3S7eWSE7WQTf6mUNPV6GfBXVl05cEjhZepUiqaU5v6xblh
rn4jmojcK3fAnBvVk2CszZxYFuW59mfsx35DMOHQoFCbgubE7Mq7mjIy70rGNKcqVQGIq8y5HUYl
X3WdyTe+0fJozOBdDc1Snoa6pn0JjeWHSntyiwRXo0veesu9Dvrxuuo1wuNccc8RKo4eZ9kjubMs
6kbLM/kNwSIeNY+NuXHikTiVphXWRsV5fqnD1Lsb4gGqeuvlX5lyG6JYITzdqGLMbxAe6GdCkacn
MA7q4hXEl1kmT94wzcqXdgz7KwLeoDyYIZLky0SLe3CqDMWDnYgzPJfpCA0i3dkyiQ+tHoNfnPT6
iBB6/mqkC3Y3ITetUNW5D8QNwUb1DmSavZnQxxOzlJ7dRF3NAaGhIsHtWvjDx1BPaAwKeLM2wLoN
oWsN94tuRDpSRwc3IyhrMaH+rkQwXNl6ymnbzvk2rBlHyybQtxlguFPTDt6DmKf5dWhyPNjCGR/4
QMQdQ9vhK41JZzv6U7XjOel3TWXkaaIbeGR4iMuzGhrGyXlbHvnaeVqsFcYVFerDo4t8XOKKfoMR
trcHIuFvdNX295Ez1i45UET2SpfpX9wF7q/FzdBvMCtDCmtjmKVb/6xMMd5korpXY5/gjnfTV2hP
5XFBl3Aw3myNG3vO7ZswL+ybpC+SW6up3AeStwcOCpjH103jlMekNHelHhgUOTyol2FIfdywSUXq
1NSbc144KVIaSbhdHOJ/GQjOxe25SSKPraYu6ysrxPTsarrr4VwF7tbuLfKydIg/UE6m5U3HLXN6
bEynbu7094K7nrElIYymSPZCN+43OYz5uUQdcNRMsZ6dVjKRIxPolhKEqJlBL1QFXPm/dPWQ3Jog
Wm7GTlnvqhlsTjRneizzRqcbnp7oup6m+WO2GtzMRYpnuq6D6cKMajyKzoHKh30a+6hb06TV+mUK
gu7eBOh9Z39cjl5usgdONvUWJkPzPe7r6Nec49zahH2XgmVLP6bCyL2fL9BicUejnh2uZoRcO4xs
/Za4Z2IxE6uz0FIXkjFdV47vRKk6tHrcyaMxsFjyskKdX6Ap9vsmQo4DZSgX2yCUxS8C4rjLJqP+
GlNmhnu/SavvXprGSFeNuBkcEV+NMTlVlBLtOUviE1Bqt6SLxflGH70vb3vgD3cyrjoUpWTaDnBE
cVNb/Y3oLfJ//SK4ncoIUS+Noa9YPMKNqwAjbTvfMjETuWl4UGkXXzPRnH/ahCsOm2TIOa4TPmOy
hXvrOcsCJgo5+F9TwM1GF0ISwLppg8ZdFgH0zo6bu6iovVuAXkQUEHqzK+KSVDcpgvgYIcld1wSa
nq2bUPtUDt1400Txe2HjhrBz790fugahVR08xSk9Fsc2HqVH4rMNzu49KCJ7mwoYCnyBF116znHp
KcLmOt8xI3Bvhrgn6tslBLPNapr+qet9ieJ+JL3QKg8ae/nRCmUNFjckrD1cC/mCEGWr8dR5Ru36
EAWp/6PPWiI9KZKX3TCNyZMTSHVAfYIYOGvJWhAy87cVSaz3hdCkArqjScgAr6PjBN6USte7jkU7
rf0gH6eS7dz0fmguSe/Geye39M+MYNl+Y81TckI8FZ0ikowB8yNlqsXc3aulVNCelT5JOoNouYJ6
uwS5tZ2mJVmOwmmjr9wF3GdDY3Im/c6LfsWVNbxVtCAOolCvgS6jvSWTB9RWneT92VT83FO6Ew5x
ejCyl9llUq11Dmu3IyrXD5EaRpASfuSqxTbT5WK6uIPZYc+droBlpixNvztUsgjuBXfTg5NzWA9h
4cvDFLeRpHO8cP8wbMK3XjroXafbFxgx1d04jcg0xGL7R867+kD7ibzO3prR3jnRyW3K+C5ySPfF
sJy/cUELu60lYy4gszgNSgqSVAukHJGDQO4clCm9sMYq7ycicqidfUMXKLKJXK/HboYwXkyPYYt+
jvbHdA7tub7rCz3xnHhhy+JIog8uvrgX/cKld8y2ghWVyzTjf4PR3rWnpxEV3Be7aMovvssdkMi1
xaeu1fpOFX1ytRRrokoaiLONqaLapDZqFBTqnGCbeBTnfBjbZWdST15kv8q3CM/IB66YAFAq7abd
T6+SkBqKTdHPTgzySMfXYgxoN/VxS/xaph9Cq/NufL+dbxPdOruE9sMWk5O5ZDUTnpSL/+sSxlfS
D5/TkFi4wc1v6zwgEtXzL1UROd9yMnPQ6dPvJH6WALioCl8dmvln+ChYK6cMa9JAwLjylneEAN/z
yHqIFYLuJBvDXbmAguh0bpN+hxzcBsW0LWhdG0qEq7x0qj1j2S98LTTM59jfJgRv77BFig1Zk7Rn
c0Qigf/mdNjAzUjOXFoU5a4o4narqpIPppqSTVmRUINtRm2ayK8vaaa9Qz3Ehyyt50ucj3cZ7KUX
r61hwMSGrobNBPTgRC6xspZZtqIYvN3SzMwwyfeJ6FFvllx6bzN+jqMkvHuLMu2YiABXQohIUoV1
cVOz/N4tAHkYF8Rz1XfhSVlivgRuZ5P/Wea7MWXmu8QtxxyzkXOuovgwd/2yVZ2AVuHT6FRNn97W
VsnJXsj5LrB5c6A3kd33FXUC1oJtqKJ/l7Pxz2UpMyLPYxrkgSOjPvyjvycT/lzmQ5yfJUxarnAm
Epd2idmlg6EAWWbXVKTcpeiADnbxW2fjP46eSajGQ6DDMNlonTjJn/74ktdtOC8qPzumabEwt/U1
apbsLi6S4vF3E7R/oZH+s3ibP8VMiv+s1S+2jj/9qVznMmQQzJ9Srq4R1MDzxTKaNj//+u98WmX/
WOdjQ4RxT8MBzUL4ZwQnue90o4soPQ9KzIcMlus5xPSxL+u8v9dtQZL0mGR2zpdevasopaKelhS5
nMjW4lpkvLr/7R/9R/0jltRfKlduGzJz/8/2vW3K/I/jVoQm64/+vYUUBX/DNh5CtSAnAKjfunj+
3kKK/b95rgPmyv5tpOrxfP193or7AB8P0HX8zZ7Lj/FT/+gseX/jeWNE6uJNsFcc1n/TWYKa+Ofe
Eg4I+jqsajd2bC9CRvN7JkDEwJGRQydJGAbGvKHZThGMFlqTPETSklldOES44lfPwrNw59Q/126d
xFwiO2Yb7oSv7sCotir2TUBy88kqGwfYOEHhlU2esdd9VMRFXM8iI9Gl6Z1bEnL8c+8PDnBeV+q3
UoXeqnAQ6PRlaSEBLdk5IR/G10kmmjf0gepN2QuBT6Oko0eaqxNfk6jsv1PAO7cVxA9w23Uahji8
3Vgd3RIxH9lh1vojnqCOYO5B+Kfuk5fBw1e+mZRNG6jvYvMI2DB5qXLHPJKv651FUVWfsImI1E+3
xovdkFQfX0JgRh9dbDvPZV0VKU5gKEcUfWAzFHm693NpaEYVQ8LbUInfcqN10/ZkM+5+pscYvEcu
HI6msYaTN2bel4Xx6X3tNehDPLvpNmHVObepiy94w5MtXmS4Uq20zhWKoER23VERWPYh25xPoPa5
buUgXN88oe1xY7yW/5tvnOaqIin1fU75OSBavIDAmXi1U8lfsxlE4/tl1MYcOMwQiyeGd+0X/M24
8NRbKW3eO+TWhUhj7o23oZ9XV3UWZbdeYclrbhMOSsLc3EiizM+Iv4tznUf8TGStnyeUJUnanam4
47Ou+Te/faEo7oqWKYZIXtxh/YbHeTD3fKVd9wp7aTbXExueszOFK6sd5UqRP1iAkDiIZ8lv4WLF
P+MOAs02KAc+F7LXeY3IBOgITrNvBVuA0inRXD1wl5Mqqsz+2oad7x3KarEa7hfLr0wMfBL2WCcv
czk9MmUKDjO9GX9bily8LG4nH+gRJj51jYbC4FTucw3b/m3t+bFqmaYeCoNU/kBHkN+0CJd/RhkS
IF4Ji6i3PXOfhWtjNupHVgO3Xb7ZhKG/t0/mwDvHvjP4N2UU9RoAW8fis9wy2wmM2wpsguo/OB2m
dM/92LnN6BNNDJcMX3CjULht4iTtwk0BK2C+1JJL2LZIMF0gOApYb4iCqKcVaTTA61E1WOipvO08
ebzufBlyIvUKYR49O63Fpp4qVoxA4/RhjM+frKkJ0824rpM5MeptWL+i2Ou9c8XU8405H7+s13Z+
BF6S7Lkg5YQQo15XvqPesNCIl88lnFsRn2/RNVfN+rBjxlNvIhzN4+QNfCSTm873hl4I4BsXFEwm
6+LgkqFDQyzhg+sb5XlbVcYsmIFr9FVZh/zrz0diKFV+DPOZD2+mZjnS//TOuZPrtyVqAZQFqsp2
4RA6z/7UiBdL2qg7VSezZiM1wIKyjXg4YZTBEsOzcCyzYBoRUle8HTv3z3lHTuFGI4/iebDxJqMW
XtF0xcjnQ1iE8zy6Pe8akh1B4NxMzlHWJNdTUybXiw75CkHe8hsa5TBLLek5xNshQqB8T/8U5YLV
djP7KYzfnV2q6BQGLYPNUibXgTbWzpsy1PemKXi/Hliv6bB085DtUenxhLltxQuis2seK7eZsse5
M+omlcNq5dT5EcmxeVwhtee4Lqxkj8WD3+NT852LAjaS7NkybFs4z32gBj7ByjePioWeA7Qr9Fth
Cw1Bo0shEWbuc+Sx5sOCG/QB+0O7PHVJEvgnM7BFekysr01RsKLIfOaLQsHsPAt7WdQlbfDf7r26
KjOEYTI/SnvJjwNgwWU7TnxLZS7Ip89dtmaQ36wpQU7OuEE5yNfadmXwbsOOhoFWO86zHmbnWcKJ
oXJvK8TPDHFZL07XM0muWaUTTYOQHrd2bnN6m89V5fB6ZAWAbT8m68qJnLKZL75s+fVuKroPrOX5
MQeMd09SqPOMcjF5aSlV5JUPT/g0OJGtQUSx5n0XyzG9JN7z1qXe9vg2Qxqf+Zi8BNjdeZ/2uu2N
k6P7h5EpiaFr0LG/tR2pnmXmresxmbt4q3ScvNDi5Iv8bUsjuzrH8xJNLCVop+1wlnGnLaR1/oST
Dn/qvR/ydBGhmcgtNBA6dKU5fD5x1Rj7L/gGDa1mHbTZ4XNnbZoMOP+UxfrFQSeOCR5AYvE1mDz2
CcSNvFCHYNyjn/XBe1JCAJSDrh6cDFQifZ6POjPJuVVqPQxoEnA4M9KgNUHpdTstARtZyf1h2MY4
jB00R3Thszt3zuYT2w/Qxp2TDlwhNmmDO38bNktyVdUdegI3EgaZe5cn5cMiy5/SzsuI4LXeSl84
Slsiv4KKr6i2eWqKwbDX8ky2u4wtBsH+hBlp6+k2/Gjq6qVJnfaSCBKhJhz5k+Ee4rXP8Odoba8H
Ucf0/jkH3n7FGRPfY/C1Bc/u6NHQ9fKNdpz+NrC95qobynRVPmVf8kiT2TfX4pvGLW+5jb7u7ATV
bh9t7Yi+OBijCkvGdOr7+dxlg7qKZNJW4t7O/GabJP3XGqGUUp0+WGGU3Cvc6mS4PgrYIvbXOSxx
RG6ihknM2XGail0VzSq8lBBgmY13Q2HL3+HOXOptRKJ2Sr/fl1CA3OrkYJDL8PkoKAZ+4R2KGsPQ
JmLiZQ9mugQyK4ottut53Li1yubDHMKOPiUsS0IogP+hf4iy5Arl8XIXmz66dDLhmMsN4b74UOAw
Ts4Xn5SHG4tq9i5fivgSuYLV6/hcSrK4AYoqFaoQZRjcF9Fw1ZrRvsHOjeC+swLzXvqN/DJH1Rdc
I7q8LnXnP+iCrDirR5qw9Zc2OcSjN/7qEGl8z2Iamd1EA2Vhke11EOW7uJ3bw0yD6GSPetzNpq/2
yDtMBswB8zzeSnkTt5mcb/i8wg/Zx/VhGSbBOU6cb5pPX8iqUIeCIRBR5NO3UZhtkMvoOx2K+TEL
5hpTKVZ4b43CdfugfeiYmXL9qcN9YCrzQw7usyUjQVMK6UacZ8sDw7Jg2+DJOTSz5R9FMkbXKoGi
luruWSeDJTdtyM1o31W6uekXwRZVVNxPpkztU+4Nl6FqnQtIAovJZdOdi2TwrxuPliEfWr0fCx08
mbAhERY2Ay5/QKGSHQt9c1XcoyXaRdw6raVw7jgEZq58Y30g6jc8l603P6RIG7waNJlrde0xXk8I
b8abZtJkACHGF4YjzHrrBEMzqdrkZpHBw5BX7o55mP1YtDK+buD/f3GNa12jF0YxZMUkeQGeaMPv
/UhI4U5AWLv0ptZ0L/rmVa5tBuYJFcJpWbnFM6pFRDOTZ93aDCO3nLwRHVb/METBfJBNUZ0nFKXv
wLJejaURRQDErbZj23YHK2LZbOYImTAKmOFoC4QnQVzoLZt/usMZxUGUZv15rIMPlcFed5lHIiuy
y3W3cs6zbL130dpKgzTtzCs34j2365abYG7Xu7mwi32v6UcJzY7Czt9C9m2cfGPlbnSyO+Mdqwwn
MYpuknem0pmus8GKnI3yBgk6owvjls+uD+zHcSpKhwZb2c6rOn9hIpkLB+KAIyu/PEVLN6YfbP7p
IZOu3i2xo3aCzraiUyiWltm3J47kG1tsTCTznWJGVC9W0bkxx55w8VcOTrZb6TutzPQ+CtsG+QLP
Re7104uCBH9emPDC952LwwJefM/Uif8po/wQuqX9ZUoN7C2HEB3fuuTBevFjI63QyZMSlV6nurqF
RdJ9tbJkuKraGBpW3W05vMRThbLzNZk6jJADtUt/KbSe869dqAb7XBVh0l8sTEHucGLXSg7YIwY9
7aVjcXNKKdzEncDlyW0Wrzqm4ryJ34Qu2dThtExqZvueGa5h9sN4eMRiBHx365a+ZW/SzrKndJsG
9uC9xVnFqesO+IK2cR57xEVPIqiutN3y7wvm1cgcgqqPWT1u0u4xviX7rCWIjJssLuBNOPqcTblW
5XyxncU8zu7kECOakKSgkQEwu+J+9t/2a5wASUYQkTtn2/SEkYf8vnYekzS3PKLET7UYqxaXqRlA
h4XgXzeAnANNyGdV70PT6ffKL+ZH3VNl6owqLG9M+1jVevtvXtFarf+hg4QxZYWjrX0kyPR/hrFZ
gbaWgR2fXBWLAz+0QvPY00x46SjOu01srYXL5LrdB2oT76xGbob11DAcdOjN5tuuU+vtmSvpX78w
71+9MOCGCU0tcAoQMP/4UUWjTSO/1dlJhSl3ixTE3TrTmaY2AhiXe139pLIy9s9zw4WDKXzTFZfR
d8fHwR+RdmTjlLzYyPxg233eaACM5Ecr5/pLGgsXrzwFalIKOvGbdq3S68QuW+gtgjq3iNBt3yA6
6T9+KyfyajKPw7LWb/BTzGMmcpQro1zM/XoCv2OrBce1gMkETxKR1Ppvvqd/6pw6BFhAXqD14sKm
+CeReyZK4H25PIkm4VVWTeOZr4u/DN0rgsBFH3yUZXi/66AsoBgXXNv++vv451YjrgBoUgkKtNjj
Vaw9z9+hIKcMGuHi9ukpMEmcbkTdpfluSBzh3jq0mVPKFKGOuZdnKVxrsdR7hQDvNq175zm2B+fW
bwrqkb9+Vf/iY0m8GAwmBV/4z+k0tTeIJpN+uhpwKO8M90bUnQ3VzEhbBUGIy515qBau1daYqre/
/uufa/CPD4/Pnw/X/1C8EQP3x8+knpEF1uPCZzKXFNESJRMj6U7HleQLgUZqUX/hhH0uImGdnbVw
I9Tal+gttHLv/HAeC6AyIKmyU7/2XpROa/mLLj3Vb+1xRP/1C3b/7JVArEF+N45R+gY+0Ubr5/m7
LzFzLA3GJ7Jw8QbsgW6Dd/0SD2upUxueATb+5Hp249F6qt2F5ompMhb3jMTqySQhz1zqodfZBgtY
VVn6/FceOf5pohIF82d7yHMB9G6mFoT99YCcPz81KR2wLQz5Md2no25Py1zx1wMXw8QuLOaRfYaC
4OPzzf6vh/LfOH6Yq/xlI3r3s3yf3ltGDSByMBCtmLjffuZ/OtA2TSvohn7EesFZ8/860DSnI3JU
AtY8q/33hh/IOMxzcPMgOwwiHgaOtn80oGOocw76yjAMXPYO+79qQDvJP50MwBdRF/o2x9BqO/rT
U1fIMZPOkugTpUv2igGkVrtQoQAAX1IxkI/aqj8oPd+XjYtRAePzlsM4YTZtq4MEWyJ5KhfnVeRD
lREYWoTbPLGnn6YPcdHzy7exwPQPRgB7hWUhGi6/+VYb77whZ46OGeY40xPbtzwREGD8KD+JKgie
ZD/V18b0y20pg574BnAfpwjSlr8VsmovMJ6LHURRxCFRidIrg+MM5rq9whUjaeeiT7ZMII948zjw
YDSoc7QAFOCO2j/WNGoulMTfKJms17ysLB7WmrMNhedxSNx0T/gwGqK4U3eL6RBMme6BavUjICZs
UwveKQ3wB9/lRgixJ9vRXbQ2ku35SK/1l0Iehe4jIbShtkkFAta8HGh/q4Ne+OsYBx9Cz6xg2f6m
b0ApD677kDvxsxiHG0cwns1M/TRpHKNmUpgwipoCM+bO58YVdUN17cfqVRC1syVw11wQnH9LKG9D
zS2w9LwH2NHfdDACK2maJ0Oz9q0oa3uHDjOjQlADtibQ9rjFtyxBhAPU6JGktSm4r4+D3oQBvzoB
pXCMlsi+o/tsHfqxaJ445cuXZh78F8d49RE+DXbWFJ8UmyT6qh42X2ZXv7pF3cNHXE6CG3GPWeO9
8Z32WYH232S5oJXjqRJ4nKvuyyk4iXiJ2bR6fTePWfvqF/Fz2OXNkVtafkSnlF6Hooj2S5Q4p0SH
8b4t4y+4dC0cAN70JfUhO/kVyp9tlHbVg5uI4Ydl65aCXtveQw8q/rbKNdR+CB8IXJpML/syq588
Mgn2TJTbbIdM5BHbWHLoYlHvPC8Dv8eTQ+zDmO+y0hoRZBmdHOljqOKcKsfZpDlEA+kE2GXjMWyw
jJjhKk2tHuQwBNcvkT/lV34V2t983vium3syyXB25aA1iqY5ODHSRXqNs301zYjzzo20MXgEoEd/
WTWnwjFum0b8mpNouindFgohlW2xL7mwtZhkUobn0nn6343+Pxk5ciFbAbT/f7P8mYFPjf/p9zv9
33/oH3r1CGgZOaQxHL/PaB1+3//o1QM22thbN9nVpcmh8g9zp/s3NnNc8oDOuJTaqyXzH3t9+LeE
cNGYA4Lx4OoJ/W+GjYw2uZD8/oYVOy7FUoBd1I+QASXrheZ3F5Y8zH1Z4o+4GO1ETIdUs/qJYEGo
TyzEbCBEEOqQPCnKUDwUIkCTZo8xSK20Y6M6tU4lBC1IiBMYsoFPEPm3srVtmBTDJ57CkSuqgqZp
+1V/AizGT5gFPf0QNA2K6utyqmK9KVFcYmL6xGCIlYiRfMIxupWTsXwiM+qVnrGQuc4Q0SGwb+sx
Vbh0nVDjxo8t/R21U/QjXkkciJG5Cy02HepMlX23JR3bhTKYTr57nbhAzbqkCm8mHwtYNQ485zA/
ok/8x/yJAuFBz5/UygcxKymkTd3qsZIWfaLINMSeoD9KA+SjdhpvQqkey0CNR3693pNWP5/SCU+J
u7pLnAzX+afhJGvy5hDURBm4vxlSPs0pBt3QASiL+xX0IjZPry2fHNeE+yTzv6Xj6nBhPrKrV9fL
sPpfxgbCS+a4DLbwxgSrSwYyZrgxNIrvPXRsALimx8CeOkZzq8FGkUD8g7aGQjhLk6pdnThOVRFW
Exr9OMJH5mMnyPymW907U1ZzUParp8ee9tptmltBpfhL4pI5jIUPwSDI423aRt2jGyZoXwUKWuGI
bbh6h8LVRZQFy9fEtxhNrg4jEugu4+o5ilb3kVx9SN7qSPJWb1Le4VJSRfadUW/2HjThBH/ZXJV2
MO8IueHcXn1OnNXQThpTPZWrC4qYAixSqzNqdQQh7i0e2lL2t5bB2ZrzxH4pVk+V37nmdl59Vsrg
uHICXimeLfTEmAOelzjCmlXGGuOErJuEXytlu7eVcq68TNuX2R4+cIxOoEr8kkEk1E06oSJ5jFY3
GLUk059Pi5hKl+WWWIIejvhooRkzzXH5dJW5rOgoxGlGMq9/NZfuhouAf3BY9jeN8Za3sY2CnL5s
nzER4TRS5C9xa/Hws+miII9o9bhZAI8we3cXG/sbVrDVCLd64rAWcpeSxjpx6mKZ61iDO7P66AZh
ITBa+hcLWWPWLY/xargT0RWlu6GAql/naZD3Gd48C4+eQx94RzLFo6OJKa7x8XUKyAH2kpf50+Ln
dt+qqC1p6CK+5cRyrwIf/WK9flPzh7VaBZvVNIhn8qs/AMAbMRKcgKpbNxPecoKssRtK239jM+zu
3NWKSJe02ZZFGpxn+tMv/qdlEdUbaHyQ/Zbn8lhZEFwxOAqcjuNqeRyiqj2WkXbPsrssuCL71R6p
AYei8LytV+MkVdnGan0AXUaSbjGpnJCS34yWHahCr0SnjQ1zXA2ZREF5Z5zv5qFa7Zr1atxUq4WT
9kV44+PqRPk+ndvZF8UOU+30MPn9y+DM1snSM4JZH80BD1jT+ZP9VEsL989OO60r7+dPR+nUBNj2
4u8NwtJ9GC7Js6QnfPBRMWwy5OL3sxfnd0HWvdcQ586BRlm55M57qMaALIfW7r91NGmOdpUp2pGl
e7VWegcCTVjSdop6mHbnvpyz8n5m2+WOyH5XNlwRttDpvi0D8UWjYH8eB9ZgPpv5Gy0x9J1Vbusn
3Zqnmj4xUOK6umuA3yWbMSkHdY900Tl7asrQOJCIiTQyGO0N7K/mjK5fAIir+3LXqDp57GX0C+fD
tE1dQI0Mu2giBTEj4A1i9niDoq5qVgxRNZh02wyBHGAchcRbLxkGH7evDpApDY94rabSDC90gDvH
P80jxpGqtrN1vGXpH4gdmnmTwRaDNZtNbnhXtHFDtgKpOKdiiOVybWiTPxgO7CevFTwixcTSO7f9
GLwy2msv2VLRLe4XL/jes/rzrTMwytk6loiAd6HGe9RMiN0dbIz20qAHu6Av5ZKbyDo9Cd2fwQ+n
dxlqh6fYkl60aUcrOmYFKenbZJmyNxWTKDa6PkMiMEfvJEbauHnjVkqQcb1/nQJwZPzpK9w/yzRA
MlMxz4c3jngmzGI90LKdf9WFzyTN893pph+77n42rsbRiicH2hjcNsS5wQC4wAfs9dUWnn7XrZ2/
cSanNX6m4aZjqHmHWjT5ZZOIuXBTFd6jBXftqwUi+rayozNlafmzqrzwI6iTIN/kmacHdMIjlvjE
z89BM55hkVXbjvvDvJvLNq42ieBTJL4hi1+GcQ6uy7ArPxjpS3GhZ+0ym1I5QGU6/C+cI8gQzJKi
/Zxdi6lNpCDhFA6OuTY35keR54nPZoSshsi78d5wK2dVzpl1j7SvUxvXq9o3OYvilizJFBmE6OGz
uEm1nJNBFx/MgYtHNdVPZVcS5JAvtTgXTlHtnCLjYWUuou8W7WlMB1MXzxsXwXK1n90EZwru7bcA
QNBPEWf6W+z74wHGfoLxKAVhzfRnti6tI8f7OmC/2XgMjH749tzdzW1NjBj95e40RLNq0WVP6lsC
h5sscFx1Z+X03rSTudQzXohKftVx7vubuPH6R+mLYS1APX0bYs9BFMDF/0izX82oBw2BEcRN772o
td9E0gt/j5cd6KozWsFxKP38USTKPmp4Ett6GKixdYyjhO1ZxjTzx2rrFW4EzrzXF4KLQyp2397N
I0z3knQpXFyKbhMCxr226YOH0qUIzWq0NU6nHlCd9LsuCJJryhoUy5Eg8c1EUp27iLjzTVXW7Rsj
qh7DfDp0znYAkPdazK6q972fzBAopV5+rvy0G0zIityI8LufZsmXKKurd7yGzcEjna3cGYZ6gLCp
dpCrE9CAmIBq55xHdnSTwOD5NgZteVKZmrFgpQGMz5l8ke/R1GZXvXC8F9x7GdKjylu9MS2trbpx
m1Ma41LeFNBX45PEW/gYI70ft8bNnPcxGd2twunzjbKwfwiSPoEwaFz7bQBOKUAoTANrye6GTQwb
9YPEGy33ogrTFWkmxWue9PUXhmJhd/AYyl8N3QD6k34+WRFth08h8oqzTIt7G1EPDqzoNoUL1GQV
FWK8EtGHbFvPffLg94l9O0R+inEJbs8uSP4ve2eyHTdydet3uXNoAYF+rf/eQSKRmUySyU7sNMEi
RRI9EAj0ePr7gVV2SbJd9dtjT8qqsshMdIE45+z9bbqUToEZ2TNid984bCw2thqsVx8rFM2HWjKR
hwA4M94bLUaRmmngv29THYtOHJ/aTizhCN/qjAjaYb9YdrddpFlQzev9BfGzoUOw5jtTsF4Fae+4
704G2mkztBVlv9Op+9h2o1dYUdFuqHW6MlzNpQ2ksvrLREyUtWyzkCVFti6J1okz2JVI+t+k7hM+
pNZ/SPDrLC3meFlHTfJYRBPzfltP9mBGNeqDqL9QcvKxF+UI0lGNwA2FdZWUIzl5CwHa4Hsbplkp
WTobQh3zp5YoNmAu0YjTKUntLgK7KDB4R8tynmuGPI6OZVxwhMWFwBr0PVpS4DFp1x2IWRl2sQ//
tiliE/v68ijnaYTELgz1EpuNe202jfZu6Ol/w2l/71/+RTsUyYTzp/3QK/WOwuTHGvn3H/m9RiaN
4gu7MupjrBXMydbZy+81siHAzTlkfAObI7eev/VHjex8+Qzkhhqmf7ZDkdH+XiNbgMdBkLguYwPE
2w4Q8f/3Pz/J2Ntf/v2nNDyxTsJ+qJFh2pk2hnHBFMRE/vsrKjyHb5CPbKWus9xn5Bow5mO5VtB6
r/xIWtaN5TSqJdFFx3wArQSJ8GYcUgdD9VCP06lBn4yYMG/YoWOh7YAVe2gup0ebOUCuB3CWyw3q
3PwAWlcfr7ui0d9KnRVp3BCHS7GlKCL1jYBBjUiiBvsC86L2oU6WSZMRDFEZH2ZcoarzmY28agJ9
EXFz8dHNrWZT1zErf+cWt7Y3Rvt4qZet6Rf6FXqxeo0wd/p+06BmI6WpkMqmeWtp966uvZJZl2xL
ptcb0jfck5NgyEuXJUNqxiYBOnn/bcx6EVo6GseNqpzkVrkevU8Aa/P10C+RD+puLFVoSo6Yhu3S
eWHbFHLr60ly3kT5DubbalwZndd0HLr7dnCS7GRDctsiLHavUqXDXp8x4CGZchCAdG6SgA71J3/Y
tIBR5jvXhm265UrMT9FM0IHG0oQjEh74nWuZkb9pa/YRUESS4SwFmHK+jBPqhDQ17L1jTfpZXJkD
0VN5WwU6AgJj5yINQB+UmvJxVhOynbjJ2sBzB4KU2grttWbTMYXNvXi4G0a335jF+gbH8ytosE4U
XFuM0K3aOoU7P3f93DjXHMmKhs3pGVJqJWQ/MGYPW535aUn+5wflFXH2MWFtbWrRLgT8s7WbtKej
nbg3DaFVjEYZr2/F3NU3BLGo41xjntHLxrjRwFljbyqdY2TRbdkoZTtvo/SZ2/LQnFxhLDDMZ/b4
xC2ATDF2DYmpFxbOpPlSr3p8SkdK1NGTMN2Rd+NDQ0mBPQZbv7y2chIkzpYqNayNbqLloqnipatA
oWwtKEw59u8N6jPPI3vOgDizLRfO3k3fxlyrxRjcu1JWmJBcbfLlQ6EG6KZMv9mfJDSpN0pfFdDm
NFH9Odif6mNWR8q/cGScvJUNWy1mYW7uUqzPpXYx2IyW12TR+tRqHmgcGPXnTlSNL6JM6Cnl7diH
s6xAEE7xnNhBC/qA3V3h6MkB7BPbBV+3wFx1OCGNAMOG1h0wornMHtL0Op0AtAZJw6BiU6uo5MmO
PJRIppzTbquyuh8DSctpuFiWFB+b0CwzgACD1UgO5WAEeqUp0vY0RgrXToX+MFBIdNxLpifjCUOr
vsdS0m8TaAVk6xoWjeTMxWNOWkeKHbcuBoD3ERMM29AdZtGFNz4JiPP7DsM9bW29vV0m8uxu0Dx9
1yDK80xpTj0FHp07+9TVZrvsAEUzpYn7uX6aolpnE4po6euyeKLeWzR0qj3/EX2xr9GiP7ASzXcW
hv76TNgO08qUEBtnX+iJWJOs0C6b5K18EGJ7b/eOd2GmdrvcDbkYJEkBiVGfqWietp7U6J20+KSW
KGMYgpABnoPlU4ln7LJwIYGgzOcm2y+T6R0zzZvzrTdq03QxGWN97qI6IOJEqnzvESsQFkYcaUHK
tap3sVwIAFss80bDzT/szB6qjONn4rx2KjbOXsZUWktXxbGVTDihFyvdItEUXOfcirNX1bjZS6Z3
2j0ttuF5taqrUNWWxbNmTcNWyxYTka6jdWcqjtGgIztqQydpY3XOX7BQF2mrFhNzCZvTjcPehaYN
gjvikGbLtaW+yebCogPTOwktPoeKBtpkTMLnIAc6Bsqsw6hj24MdzS6RndeV7JlyVFHx1Zhj8wFN
/CNjbYcQw0/hM3RccXC80b1x7NTYkhE3g8BJmjPXR0WJQBx1ZKHZEYX1hHyC/od1KkrRD5uSxptx
OdIIuESd5GR7r6nNp6YjFnSa0Ct2Toqmw0ijggHzoHftph8yFBkllPPTMhstvc6azlrN+yu+gQse
AUrKrGJe5kNpYsJGAWppIKKO9G5G7wSX3dj9d+rwv5o6oFxC+/Gvpw7791rF6cuPGyrcaevP/G3o
oGNIwohkubpgHGGtNqa/OZzsL2yHUMK7rmOCwl0Dyv7mcPpjA2XqX8CNs9uy19BjG1blL/ulP9s/
0dT4ef/EAIQRN79Md6ACs3yshqcfZgy+qEkuqBFlmV78zGoxYfPJ69Bx9adKc+5ooxwqvW+evNKg
LUnCOcX1jnThYze7XrhotPvMkcW8LXwS7I3RpgWQF3s165I3SlMF3eCrj5l4RWou19vWHvhcLS7k
N+Yv+q0mZkE7tvu0n+LRhFuxg6Q3hUTa3zKu9q5HwsByD7tyNaakPgzU6SZWD1ZVIbYz8suj3qmg
GcqruSVmSHbkmGXFdKZad7mxUZNsyXB0A+Ll+68i9XPaPRM5Ryn6NprgN/iM7T04v0fHKtH2j2NB
HFaRXHZ6apxn5kiell6l1wbJSaENtAQ5sgtLoHgAt4XUdqK72Tj2oXSHl7o3UEWZw7hVlpxeU14x
5/mIJ9f0l3qDZNTZ2+2ohwoU+36s5hVRXkwhA+C3LpvMndUDvkxzx9pEbv8ihnkMtG444lwpKaAw
t2S85fHMV9DyXICSiVvdlk2764p5t9TaVbRSEyHVTgdp+mS+urVxSw1bPNFlk4+Ml3clCRNMoMvb
HD/dRVp4iiad5yKKpv1xqRj9jARBk13eVE3+1C91epObiXVmAgkEdlZhNJMxyQaNqUV3ApvWOTq9
BYJmaasD9JLmgnzV9IQLcHyKfGRzeEX9h6kE6cFOt4f9XLveRUJqWNiOuXXW9IV3Q/5pvqkK+COb
Qgz2oTMxsLnokcFpuEPxUOWVfY6t2t/rokBJVS2MhaCR1exPkcld0HH2tjI1DU6ezzacOBgISi3d
DyQDUYTeodar46r0A8VLDwFHd5GPn8rh9KR3dX1OVp2xE6ObfXMFYJotu9MqtAUup0wU9Z2HJy6c
yrS+M/LaOJnOhBNnFf2xXGffpFy9AhRQabxLcyKW10EUNAXMTbM9pKe+A6yCucyaQhBbXD+23AeU
qrhmbOJytopW0Qtj74KE2ll/VT1CQ83k9YYgveOsqpq/kwyrGa7XgmGaEQ/5OnIlfATVcer4la7A
frTVK7xCAojRg91Hc36w24GDb+Z4viUnhu9Y1jqeF6dHzV/bTh6Y5IiE7P35hagSkNIWYFbCGZAJ
VvZSPic8f7BcfU43uBpvG00p7hE3YSYhDVr6c2O1bxCTGa31pny3JzVdR30trz6/WRZl0oOHavDr
CyHcm3hNkEhtNr+BGSXejTVxD1paV34UdLePlV31X9vMGoPamR1UKeuBd2Y538693d27U8lfLNi5
nNkDi8jWM+s51H3gMNloZd8+7zSUJ3zaEq81hjEL+zydMG54ll9fsd9mu5vgAEK/1RQPGMfE41gR
whB2peXeKNgRZ/Xq+CIYu94qhaJCgMG3DnJYM7l7LO4awdrFRkSj3DEV7d4odxhs6LVzhYpzpmIy
xC25Cd7tCFcwTLgjqdp8O/rmC9Quo13SGyNtkF80eHyiO2POKeJEu6uXhv4Q4S53TYxmoUbXEH5e
rXIsiZOKV09Mm5OXFxA+4gV1xpmbXcu+MHjDR+x21qmqE/Pr+5HWnFuQ87IgvCbdwnumrThjyCH6
lCDZE72l04A8CHjA16GJ8frZ9TfK2E1cOnPge5ei669QGl8ng44MqEsOZaY+7NE/90l42nQaUiLh
3k6tCS0pQae9PMSqpRrSJ+8COBMLXWSHORGuQs514Imqvu14j/V0jet+b6SGc2vJ7L41MhxTA2t4
bnjx1nElKRluZQVpOZ/Syd+OE8HrUX00Kze6NjptujImcK5eHc+gjjwIok6dZ5j8Bot6gkw6VyKu
Axgqgw5hPJpHZbwxAwuGRrw31VCfkwYtzwmcbMNKlIxQhP1dGR1cQfuG1yQc0qE3r9asoWctFk9U
L9/nHvbsUrXlju4o5o+5GkKtNGdSOZaCXGslhkA6Tn3HMN0KqEmWt3JAsb1A3rSXpN3JjilO1kNi
dXMgdGSZ2fbCBU4d2OENodPZOOcXsMfuSe9hGuk3II3n8kz3hHkALZZvda8nJL7KqSX9/sgwU+6o
Qp4bvbfWxGUdLpvuHhU3/h5lgI5UJXrWjbIJNMZVTMM+mGndytRz3xHypwdrbPRvrqMxFc7zr6RE
ZS/zrJkhz3rLeLvxAr2vaCm2KNktP6JDMSwL64E5FIeYPThBNLSCiI3eotq5a8r2LZlpAeqVN5+m
RI0yNGkadEHVCYBb1UK42DII2HaGQ3U15jfcVoxxnci4NkEH0x4ltDIo8YccclhRW7bstA4MId+B
KOXhUkK8INqd+k6+9Ejato3X+tvMGJ4APSNtq3nb+6JZyTD9d93Sn4ml2OtzE8HZRU8PoHPY2OaY
B7Vla5fKsu+juaKrw2OIVKiKn7yM93DVmtvO0L0LusFxyCbBe6NmGG4Z/xr3lETrHgLtH7wdZz6O
XTTaaCOocYN4yO4zl/hhAJjle4sq671Tqjjid3I3VdxGWyIzhh3v9HGXt/xsXJohzWr95EZZfYM0
HalG0rCzMjX6UlJ5JznI8Vulz8W3URh4ijtMUzY7LMbs6cK4gHyATdmlvQtQl1kBBmzPx0qcxRfA
23Lj2ArMFsC2CV0iEKTfechadR6J+KFzJu3KMbBZ5qaYGi5ira+4MQ13TdZfuLayuGMq4OE15lA8
mwt5LDBj61PtGe7Rskt0Z41dhlHbMBpq0u52zEF2hAsza+ArfqWdutizz9gp5HtDr5swnYooQDJW
0z1R00dVCnFllHF3P6p0ZJDgNo8OoU8bOjHgqhY/CUZ3BOljyRQz2XKW4zQ/L4dBO+o1C5g0RHOo
I3vtgXcZsVRztKsR4vG1imY/W8Wr2xYAkVQ0XuWOpl+qiK5fgW183wiUkD3BeQF7hsupRqOsaXuY
EE4Avfw5UwoidFYNQFLGRqHTyw0mbzDhoAB1Qa1ya09v7nJKQSOqVTYvemR0dtEO10vOHi8f6pY3
F4nohFsUd/SkxoOHEO/ZBPXFZLB9Hz+zAJy52/mo+nfE3Ugm6TCwFCb1ba/QROgmk/XBw0OD/+Cq
cjHNSL+f6aWN9oMppz2VZLxlhng3O6Z7QrlC/ewR9jJXxt4ZaWYUhgrroY7fsXLtTaYxm6Gpi3BI
sx6E1zQdodm0AbVzdDY20UUaN+T62fbWjbwMiJIznUeZl/jdNtMSuHmOudz6Oaurce72mpMOIea2
wiBrohyz+MZ0MhJtRd+ODD7bkZEhLQtyPh9oyulAdXw9nlGWjMU8nU3sf5cLm61KTgZ3mdvh3GbU
4x6QbnoPILpAXQ59X29L+GegLWOCzb4DdANAtME5Uwso1eXjVFo3axMRHr3fBzE4l7vIXQhDnpf2
FGd2jcjVti47e3lqFjMNF+ncpj7zLAKEkXL6FdQo386uGlfar+1UzzDbquXVaI3ucixdbZcaw7uC
VxWOthguPRIqtqiCLdhnVD8b5ADX/liIi9F1mtuYrUooIppLYHm+IRaLNk3ZZy9jR/MoRelAeyFi
AquhAIoz0ijzhj7mMKRkK0uPGOVoRQESRbInauCrr8FttHPrfDHZaBdF9uYKNKQWxImTA2q5qK3v
SSFayM2pf5xjZCZYiz5R6bPqXunFdm9ubmcX41i17ONb62AytDpTKMT0offJ+mEvo23zocvPYH55
pLct1nxhpYrxNs7/x0LpxWWblN8pQMmMqgWUuc3YLfY5fk+okVXyvSlL3vpaU765g7OuWVHX7foq
HXaK0fwz2xcnFMLERxP5NOpM49ZMM/vKzJaVCIay84j8utm688KTBu/vgejM/ryRZnWxFAMtzmbu
iqscqqYNxcdMXqsG9yE51um0W5FjsOt9RFLk0DH9A9Tge29erLNwDLFtkCgXe4+dcgGkmmX1uhBT
iYwtomfOkk9jJuj1sfpasekPbWPxzpmk1ruWhTH0jOUsnSMmZiNFFtzA/MQwdXyGp2psnYYh4sau
6HMjGCAzT/DhV03MpoTkUSwzFVPIr4i/FUZqhHfowVCa8h5cZnIAxmXIt2YLRkk17fCRtGV5cM0u
PSjAVodJq94RRMEXnSOX8rG9yBVDXhkr79Yp9eEaW5+8ZbSxbHMkxpslY9RoxzWq2sgkJ9v3IpCZ
6T2FXwT+IKl3WlZ6Z4Wjxeo3B8V/TQV/MUUzzE8Qzb/u+hzwFKTpT02f337kb1M02/oC8mXlxfxK
Rsbe9UVg3wGbDLhvHZb9vekjxBdhroM30GmWtSpK/z5FM7wvPqZq5l0mTjr+n38rqAm88o9DNKZ3
oHMsKiTh6B6SCu+XJpDuYFvP7FjcYWiTvHOWsoWWatCcCpYCU4y0YnWTpIX6Lt1cwBLMtVs2F/Me
mDj9/yL1SD5rJ7CtelSQWeQYQedrks3DIOnl6vwebkegS9pQM6lTkySHUUL4qJMp34E7EHj4KaiF
pq/ew2rckus674n4yG+XjLQePwbHhYGnfwe8gUc0sUaL2MM0uSLbGmxv0nbjix/L+cVFX5Cyp+K0
BUk8UPYqgHE7KuDmaENOfu1Fkr0w05qvNTjCW8EG8HkmrTzwwZS4FMVL9z6oGBK9BLwTC924iRPn
hgokTTdEDon7tevzV3wuE4fID3PMz0uA2c/lqiL3JYGL2+DHPly54N3Wota5W5Tpn9lmb4dSTMyf
fOJ82f+KZpV3iNK/hj8pQGauvBjMrjVxULlO9Zhkc0geDcmISz/Q4reTkwBO+2aQAIfj3m5vk5nG
BEbv7JKCGkAclOzigZLa20PElru+Nesrz1P3XWHaB1uOF248iq8iEXs88W9ZA3j1h9bo9W9T2h+n
t58C5j+Gtxw0Ct71BkZspYMH/9WRRWapF+NLqe6suoyejfXqxyBOnxg9T9caTH6yGUyF1HHsQgut
imAa1y27lrfJ5dRP+qvMidklJnKcrlap/XGsTfsumvlTAyjqXcjaOAcaM14lvWNcmHEDp9CLHmjG
iL2f0irJq3Fgxlvoh7QaK4LTFRLRgenean8MF73knjY7fTjXF/OtckDpK2Ecuj6yD7MHt2JDKvKW
oVQeTvYo0Kf6yc5OgTT52dGy6vE7SckmZbQ5fpes12fuXKiD6gxovgkbUjn0uy5lPMBDmZ/cgeD4
os3TQ26+6SiQCIGJlEOOcsYr2OOVHKRUHf02TVtGx2AV9vqi6FOAldu6VTXdYj5HMojXM7sskY1d
zF4hHmc8Qu8eOa4K9y+1OpYF/EPT4hq7KmnbA/yalLisTr+MABdfe5UxXNrsVAgHASVahk2yZIcZ
oIAfLGRS3mppN121ncEJJTIQWI63HEZ7fTa1HBLAMLaPRFkj+MY9e2ERGBKsNN/Tn987v6xZiOI9
4WMaMk0DF7UA+P7zAyNixnAxbj7ChfXlpvP7Clx1SxdtGr2tcns/wL7IvaPq5TuhtAQgdS1qLmuc
kzes+dNJIl4+Np3ePLqNJeGPFCi48OlMPpD1pnfK+7Lht+SDgneRDdhnCq79RU0i9UYHSxO2djyF
VKfidtKpDwhD5VDnXpsvLRyyAcvVvBvAna0Lap1To8vOCO1OEyHTZfT62TRMJ5XXy83nbYtIy8fj
48yXqrGNC0NiJYGuqT95Wtk+EmLUPmL0bE40EVFelzJhmEallb5Wer5vaqXBqSJkPNmYfe+sSRlY
cHIvYQquN7TK/vz0f+oq/nh019Nv8t5xdaJcxTqJ+MWbMDZGy0ZfRbdCSZxjneECeleNdpctPkdg
kFkeOE2rfc3mFKWQPUlfXk4KhdbeY+pKac4zSFOoaKKjlw/yJR8chTCPLRE+GcD8z7StOJi153vG
pF37bYL1k5Lkx7Xnnx0AfmK+1upedQVguJ8W3GrJW5QbTBkKpNjhlBloQRAz7honKtSmrVhnotUK
z0SRJaZKbC10POD3eqTb53DRow+ePZOFea5fzMklVWuc8mMiJMSrpvCir0ih8bAmMM+83/Zh//K7
f76Pfzn5aGdc0GvCJTLh1+9OBzlVizXat2h24UdC4Yg+uJvBS6hWoRhf0uUym1ow0Qjj913pcQSi
qpwzT6bDsS49kGD0JM8Ke1Rn5IJqXzun9Pf+SMJVgN6rulq8Nr2g/Jiux5KEQoZCY/uB2YueClSP
1zYa+zMIRt5ASYMNvLfGvNq7gwsgNLOXzbQ2PLu+jx7R+GXEAGvesU0bETKsd3aEpMc7lJ7Ts3KI
AFPjil2dYdCRfo5asxNiejdwhqmNKNcBPNRSI1xMCVChzl8N+udQoiqU+LmUZwx1o+fK5VFnTzBd
fz56ka/Fb3DQkyF0cv5jT//sSHSkuKV8olVeZuYQ0DZK3nTJOD4jc++ZO294t4pyXUHWU4MU8tin
BEhY+sLps0pWPrjgADhEmX/VSYmEXo0o8Akp6XezLuszBMvTWT4KJAVrYxDBubhIJtoZNg3ZE65N
3iV//hSySfxp28BjiOOUPYPhsWav28Fftg2s1WUPcasB328A4IGazwTvc20uSG7fk2+YENX7yVxb
knjHVky+OKJbGAOxJoVx2Z4lWuOiQ86KY5PSoiOiTE/zYNCyFDhuXCFWoHO14UnSX2HHF/cs/92r
oNh/71PX0rZk0ZTutoV9k+4JiigukXzYYenqM/eBtfpVSDePil1hIHXY+EuJnJDKaQuO1D2brPKe
frth8i3buQg0wjCxDGo3dELmcdv22DwgRbFE5ogiFVr9w2Qs7d7iqT24RbpuOdfrKse0e2Quf8Dx
yVBlEukS+ub8aEiJO7AmTYLvk5QEZvBA4CblZs1EawWAWt3vposlQQ1DfqyNTD8sfoFKh9ZHs19o
G9WXAgm8H8g+Tx54D6QPoLOLYrPI0cSbmKIkbhkxMOXIGyc+JOxbpqA0WQ02bSKTN8J5DCTe47rB
UVN91D1Mq1pbOltFYUimXdJ3IfOXUudwc5a8om45UVir+HPUwcXZzERS4uOC0GetbN/qaxx37Vmk
W7x1FiMzXxMzSmeSsB2Zn+NXWbc/PtSbDhpAuNCLeS0L1KoA6Upvu067oOpUuFVje8yPMzcC7f+R
QZhmzUC9bcM0n+AdoG2b9X65ySoMmsBoMuiH7C0PZKn78aZtl+WD7EvvDOWYFhY9+JONR2MXaKAi
eMgaBj/wWidNAvDU7gaLJY9R2rDL3Eyx2naEe1PIykgH3LIUH64LZLBuoGrYbFvhFOZuReswL0+u
WybXonSJIhUFXYzWn5ebzwfpv5XtX1S2YtVP/rDmbF+6l9+VpaeX8v3//p/Ll7Z9+Z707XvX/WSl
/P0nfy9wHf+LLzyM6a6NUdFAxfB3VYNrrn5J07aFZ/+WAfT3AtcSX3i8ICLzY/oau0ld+odMFGMm
YcTwNn6z2/87Moe1fv3hfcmvZnVCv2ob1Bh8u7X4+lHkYM6OlktNomMuPpI69veaxy1G9vv4Fyvy
P/ukVe9BVYNY1vgs8374pKKyKmuZDD4J9z38PflNVvVElwyvzA/X4Z8UT//sk/gMApYtV/xjzR6T
2bAomctDN+Kri3r9qh1KHHmEpfzbH0R/QABz5uN0Puvnkze4heHXapGHuc0/8iL/4G3ykfG//8nH
2Nhq0RnzSvvlGqHqXFowg/KAZccPfW+d4ScOU7kp/Q9OHfcqABCiXbH2/krXiaVeWnXCEQ0RQZWT
zvyG9rJ3ocCP/PlBOf9440FHIRma6wS7eA2C/fHGQ5TqaQCf5CFZRQ5OzzA7nh4oDB4+WUJ//mE/
d3G4s2kbIBxyHJesbfiS65f54d7TSK/j2awlnnsQCC77p0PmNSAUtfRF99bi0WLDasxR9+/fioi5
aW35LsIk59dLB4Crh8tK+JMkYOKux3K/sX0tBynKn/78GNcT9suT7K1oaFYFYnR5qn8+xqXP+jmt
S3kgYkQdyl7OIZVGdPfnn/JPnq2fPuXXXZXnW4MGP/Wg+ZN9LtT0MJREN1fqPzt1PxzPL3c9r7ek
xrvKDVL085Yx3gtKnpUu85eP1z+gqz3sm9wj3BkuIjNsRT+fuhpMh1fWskTQQBSV1JG3b2YG1NeL
Vc7kb+rMhH2F+BjlGYrbqd5mBRGUZoPyAVonkoyxBuLpTcQgqroav6N+YLiz6k+xAazCsPxjRvB2
FiMqvpRui3ZYLrQbBCkkUF75KzPhN6HOFhn4HT0mF5j2DUWzeMxdUZ8RzRF9Q6Q7b8dygjLhwvir
58rfjxn3c+5OThywe8cXnFeTt0W9ABi7g5yI4Aynk3Cru07LrKOO4e97E7HKG53Dd3cMPiWz6nMi
NIYsQIWW1CHDQv01I3ssSFu+jyZ866WMOGimI3JX00uEZ82Yu7OxWASDuQqJjL7AoNsw0dvTl4EO
okdTmDU0XzQltaDUObqlZOEiIKIL3I5UIJRcuEljdDWOwyuAkZ6x6xIccMHgG+bRAg64hxdbnxso
kbZeCZrW80sNCYcuHuNksM+n2Mi+xXj4H5wxB/PUmvK5cUrxyODlE4NsgPsurX7hOw3IUxIXbAdi
Ldyxm8mx2HNpFjUhbElaSGw7b9iGdd8iTs15kjXyyumzDx0YKUNBRzxSGn5M7RjdIeyo4RGu376F
Tow7Gr2VKnQ2rGuyXHKdYVC/zSZAwKzoXQDSLd0PcWECBmHPh+Snr45pbLLztsAgnWLKt6vMiasP
R/ONk1HTvHL6wq6QaI+eh0iL275o4bwQQotGzOGU5SkngcyojL5TgrOZ+vyrt6yNz9hN828+EVQb
cHX1lmYnMKWiw2Yb1Ityin1a4d27NPpB+lsniYanJJJIkIUxIKWpCKCGgYcj5EJj0vPoQe/4isai
/IAFxwY9j+ew6lg56YI0Bysz/IdawEk2q5r7BwyxTZVsAQUhbSMZ6l0/0SOnqW2SNiS4BF005TY1
sEQNA0JOC/QMGVzbKB67tZoEG8UrbkHqv+9MWoAbuxhl8tBVWjzse6/KXhAnaTvCjYdLBxVfvEn9
odij54KMha3raVFLvrdl3xW7UVMi3WXStJdwyRC+bBQx8z2KgNx4XXzZvgnI0WfogWl2M4lv7we3
k894xezzz2ZkCULZBvOjmUdHt9KZNDXCaoycK2EnMVwasO7HT0WcmloR4DP8EEyILyLDMY98EWNn
xCjGNIKixm1SOskpzuHg93Hh71HCQYNFfsE/uLxENJCAmCAcITecGJkEZul7JX0Sn3JnhRoDTbiA
+f0k23nYw2ek9CHHqAqX0auOo5UCB8O73GidHrRrEJaK37teUb22yGwacejq4bWn/4852RFhH0nn
nFehe/OpCDQqvpZuFMPl0Ck4eDnPueV1sKIZajxCoVzOdZ8h44IUKF4m2QXlmBOYl6crf7YruKlZ
FZlPFHIm+DDzr0w2lbtG46nPe9iYwyAxIrT04WkMIQkdO5Rx63tXWhy3KLMXaMe048bMJgO29W7M
YeX7xyPQZtrIRzIp+TQW1G8rFj/QC2LDhorDR87PYwSGw7/qqn783mqKFlXcsuYkVu7dGA7dFksn
+t1moVSK9QN8pkvmIDWoUGreRm4DxZypgncT1bm6MEY4AJvPnVbvqwYvQdkTFZ6xiAkm8M7IR6NP
V4e09bpAkNf1PbGrM0l62AYElM4drItQpcWVKZmgJlTCXIRSXrXNuq/G9HmOSoCbaWxAj29Kg/wZ
XMYbmPYj8/3eCD9XXRKXnrvcM951QpeZfXKP2LArTzkT7hPe03g3zBg93JGdBJl3nX3KYnvXWhl0
7JrGt22u4LsOd8WwOPV9OnGGFhce0KTTibK0dgwIlWLlLnSFlJK3wdcB1jWVdFUdSagsb9qetUeL
WT1Gn4ceAxDn3K/7nZnZeO8rBJxmJPRX3+i7c9y+7EfrHl9RWxzwEKA9BGm+L/1Yu+xUemWm5vCk
ZVl7NU8J6V3Z8pjq5vjo5bO39Qi43FuLYdNgoDtRJU15JTUVXRf5s9uokjI4+ahjDAN04e55nh/U
oMcHRs0a1iMUXWhK5ZWFyhmowRzvWdxfNRubvXB56X2yzLU0KR6aipUXv5f/oBNi9jXV6SQHC5cU
AsS6yDpWK3cL12BH7TVucmeib+RZ6BIIZegPpbAtta8SfyOMRAKLafHYb+aiYDHLKPJw1IoMHocR
68QZICfzN56ETlNhlFN4mkFmbQpp0jxi3NLp4LrHhnF2Ke7bUpTHsTHLY+12ugzIYWuOZtHiojLK
WRRb2LO165zPo5iwktNrUqx/1P3RbSMQf2/1PEvIgE4HvB3ob80BXHMZDd7RGvrVy+L0DGAD9uKq
x8SPTACGMo54Yp3y8l3aDjEUaUzPyXMlzqLZVy27G1sPG/TsGefAzQkT7FQH+sxx0eVk0DJ6bPZx
FnYyUaTsmb2Bmbs12m8exFx0QVNxN2bm/2fvPJYkN9Ks+y7/Hm0ODSxm8YcWGZFa1QaWmVUJ4dAa
ePo5HkX2FKumyeGeZm20JlnJiIwAHJ+499wRjovuqDTXKbAUfn/qDzl5mqu4FO+W1+1g1SREhhEu
iQwt2hjEOKw4OPpb6FHaSYebn6xaNwOOBqNsy31qmIsiYeyGQLrdIcNgQl0FbzKy5dqFTLM2RIGW
3q30F6hi47njGQ1lPKzFKrcMdMJ+as5nbtfwI0xdvVtIxvWorEaf0lLT9vFoE5jqMv5DuuZwfGMH
73CXgcCCaEykBaiNqIbdMGTZ0kPHvP3zAlsB8f5Yx7PmpPdnfmnD0/w+1/yhV2F2hHSnEemu4gG6
ctC5nNoQp9vCq6kTLsLaydSQLxkzdYX0awISagS9CIJDyOz+XzVqal3xh75CvR8mBDqqWdXs/tyo
sZzmHuD91Jn+BG3tyNYYya4bv+VpdxdMPOb+/BP4pTP0BQYxg1fSqcfBSf2xGm+s3s7CoUx3fUUR
lgdoQfWc3WCOU1TN4Yr9n7+e/ktPo17QtX0FtjBN0/upc8prChyLTScHSoX6nVMCQU+D+2mV1Nlb
q0Fvkswrr+EfDjeXx85QzLqzjQxMHxHxCEgNiRu4SJVZLfzV4MT8396fraKjIWhhRvm5KS8VudQj
3WsXZZl16Pom+yxQx6HxaYdGMIq2KLZTVFEJEehg6XuHWhMsQ3mNGB3IBL8EpUx+8AwCUyeDzhOP
KuTNFPn40cL5cZXXSY3WFvBt26vAl8sWl6xX0iBGGte1BRH/3rSE9UbKAbRWn79sPU13b6eAvOcF
Jrr0ScRx8uXyVAQM7nsYFKUR/UWTq/8C/uK7Yq+kC0WNZK7/08WB7ihA5dPIXevgArS1pli0KDyX
g2m9VES97TTKxoWXRMbGrn0b3lP7FznWv/TZPvBFz7B5IyQ0GT8jd9vJAbpCWAhZlVO8tbWwOJbW
8FfHwC8TC16FQYWBWNEyYEP/1JJ2ZO0FDhC3nWNRPDshB1deOu2yMnz6DEeyOp8SmgcSBPuXP78f
jF8/Y0oUnFSeTm4F/OefXnvSpdXX6RDtLNSLwQ6+un+lYRD/gvnPxiEx2NO1j3VXIR6eJBSNTxQr
w7qdeptBeoHkSp23dbuo0s4z12FbUk5aku1+E/pXSZE3XzEEBO1eqTrC7xOXf+bVfzGvRmXNNfSf
hVjkVuXfPtr4o2t/VGN9/7HfZtWuDsaV69oB/ceMFkjOj7NqNsE8lUxXzSEv8FdETm30X/+PWTWz
ckbUDLp4E3+YVYt/QQnkXGTI/ffFWNblWfOHZ5FrKkS68X0u/gvSwDYmHHtF3O8I6UKghO5qHc25
v7Tb9mVy5LsnIIWWBVvrnIU/YV0OkcRIUA7k15YEsHgPXu/Jg5a2EpVMekX+CSB+DT04LldKYY04
yYTlDFjQEds/We6WyfKpUghV8lAIIydaaOk7iB/YPt+WQS9WbEhzPKaeXOsVCHI2TQ1ls8AcjbYZ
ixwUpEQ2L+QgPHRg7VGaFsaSmOF3RyvFKs3441JHsF+wIt6Xff2iE59GLmpvYsxntZ4F7pM2iLvE
1N/7mpd37PIlLWIK4pY5RuESc+oYxK8gWjVyfh+nHNu1qKsXB+HYAskna3CNXw/RvQG4GXoqAKh9
XXsQBNoWyTofDVhs7tPMREMpPw2pjQvH4aMsvLpZCcxMi7TnI7Bk+MivwMcgvH0WN+hta/5UL3gP
fWlRjAcGltwIp3piMQUq0hCvM5vgZS+tWxwE7Vr9JC2dR99OcvNssKUMJz6CMjUB+7T6TCAFKfDA
DNdpw0umIfoe2+KZlQ8mjSvEipVZOrg/ZmI6G9WquUyZ/CL/nHJWoJWpmh9MXqsBzA+ia+q8IAXp
R2P7QKXTEimED6YR0K2iLOELbmlzCKc30K/6zUPgBfIKpW6wxDM9b8oZVu/g8emZDS862C5RyNrD
5SKJK1qXyaqaVQmVfqVPJgof9AO18B8GT++BJvCXTNi3fcybChNsfaZGhomeQDciCnk8uGTnrnFZ
cxUhfFqyqEHDoqOxKRpj7SrksBM4Ix8TFxZ6I8AGtn3mev4cfWkueDZ5i3SI3znD+e5n/o5A4hF5
opavhtZrlm5f8DMZn1Kj49Q33HI+iarxl4ghXi7fdwZEjbAuLqt24PcNkTLhtUFFU1RgbfDMpwdG
YJ/c5FzVqDyQxnF1ei6XCgHo8ZJGZnpMI/7W8ZJ3iki+/9H3Fn0pMfjxcSHWeJhmvnlE9dxdtCyH
wcvmExZNoA1u8+JSqCwdl2/Yw8xNsoCD9ZAPIy+5KQaMZWSyZ+9ZgYYsEG51QKdgryHboQeTTXBg
CqrfZQ1Bw0Y5UBLV4IBN9cTBIEMfTuLDKiOZblWJnvcQRs3Ra7RxGzoIluBskYzXzsZautyUWE2u
4oGWjgKQqyznX44DyaqewY1qCg4CKNDpGkZxuibz+1OkfXzbRwD11O2F8m7eCR2uyGilHvgLb1wU
XVJAuuDrtiJfEgQr8u0IrggOqLoNpUf7qb5bHEnmQgvyK4dBFkcIl0BeonkiyatcXq7y2ZXzpihr
f8sgUKKtSv2NA5pqNWhczpcLQF3h3OK3sTXDM544xvye+9siW5mYab66thtM7gMuI/Lx2nWf6MFb
qWBHthJlzRqvlXe6tiN0ntPLjt/jif8z6PIzlLw/9m2cK1gdWOG3/tLI9eAg6i6/IidlPNujvWV+
867BEgZkDfI6kHRjBDTFy24W2i60uU9J7dDx50X+xnW4yHKiuK60xufVc44vN8ne8obDQYefFY/W
1o/SZiGglzJTQ41oNabD8FiYTHLsZlEZTb0fHLXRyYmfGONM7AQRUmstDTkUQ53DbeCr01zpb4PO
uI1M5oqIBKZt2XKYlCzil3bFrx30vIWh07mLiDDfZdAm8C1TRV/OJsMnOvVy00LHQb0SwtjW2+jG
rrkkatu6NaZkYsasQTRrC/XYYWw+VWO5YcfP9wdhZwWYEwg43BY4WvLTt+hW04k74PJZY0KXKwkT
8qbT+V6t3JFrC//qSoN/Tw468xY31YIbcCiA8VECbL2g+qzw67p4Ktbc9CUIZ84Ti5DijV7XH57Q
7HWu6SAWKveJOJeCAOnoRhuAqhRtgk8czA54GpoIDRQdOv5uEmtDDsgr8hHH2ArK/xeCkbN+wVLN
AutKcB+xBXOdvBtJAeCNQF4EtsJ4sENCghsPvPdpCpvuEA+MqRemALOwCELd6taJqGhNiri9IX/H
wUXlgHx2N/X34YJsYSNeRg7Mshk/OJCuDmXQvWmYEb4SH/9hxcRgL0JzlJ8eBusZNYU2g/vi+CdL
K6+LjZ9JEC2LWqvI/Evo9bOEPRViZ/Y5hu4FJ5+WTcPvRMjLmbbEc/cw5Jps1yJq1l6m0OqXURf2
KTZt32wxHqW6s6wmWcVnu3eMac2sN9DuSHFGyeY6Dz+UYjffK5gfJXe/VPsuKV0M/FlQCsdDtPnH
ljf1NQghRd3t3HiatqR4f8ZqLmbm3kNXU+rbgC+AUXKl//nr/tJqq9dFXi8Mx1N64586X39ipuK3
ZbfTh8thxz1oxvJrPrAAQ4n++eev9ksfq17NdZAV0tnTAf70avMQahbEw26XTlwgqhLwoVCuQw2i
zuWV/mkC/qIJMHTmBD98Kb+KVijKiq7+gyHjtx/6rQfw/H8xeQLCYeDsMPgKf0Nw+EQ8UNPS+rr8
w99Lf/Ev5hEYNQwGoohF1Yv/JlMheRixB8QO/gCKWBasf0umYv40hqL0gfaE0oKWX3lFfp4K1TqG
OgU+Pcy2wpgxdHV6NOYJScKI/a3+VYSZe9Zsu7iLyyk/z4PPKMfLhL7EDpesoRAIohjkPK1rAIHX
kdeSCOdoECl90t5GPzYPrBB0sNoxUWC2NzLXKALfQmkmB5cFrR0d+3QorkQI0mBRGOkVg0B54xam
t83wWW0DN3C3gJCtdhlmWqA0a852jqN6Ly3TOXXYmFYcWyxWzW5qaxLzPOMIlnv4InGYyxWx5+HS
jDpm55rR7vq8CO6KymLwGGvDuO/Eu5Rz8ebK1DuBAA7MRT16POBV6urQO4TKBqNzPQSjF651jCti
Seqx2KvJ607WhvZBPlP16ZYx+5kkJ+gQjce3cDSCilK41G8Af3Ss3cz6Ds/ucCCjTzBlIAceyFVi
ELeIKTaxyVYsmWKzdZhC5xzCVjg25ax95A6zlgUTdeOMFjsHO1u9QG2u7ngaOlsZef1jVLbtPTGH
I/xqvCrvVuCGL7VGHPmys62JngMIAa5yFIPs+vasVJmeG4p5GNk+DhRD0RArZOwk4lrDM6Ydgw85
T99ThJc7X+EUdQVWnBViMRZAoufQPsi6LQ+1gjCWQUpdabvNxh29xljhGyYNTUydQbaaIjj6F5gj
n1LHf00hHo3GTI+T7gbs9TOHX1QBIRvFhtRV4ZQoXiTj5/ShyK3oWbZxJJdDXuJVnUacdBl9nr7S
LhTK6EKkjBWcslKYyu5CrOwu9MpJ74NNpMS0aTgJ6CeKc5niKVcr5XH4jC8gzBJMMtuEtJm3ZRLl
N7FDsW9Vk3sFCmNe2fPExqP2slPJsh/HkAlzEzcqprjiwuK0FZYT7YCBdQbqxns1DhbYMcb/W1fB
PBEiZLu5nEmY7RXss0BDe54z278Ngwn/MUxQpPU8KKGEOrV9jlOezeiL5V4onChRypBFewUZtdDa
HgmYgzyaKAipr3Ck2oVMGlSKUgoISv9aXdilkcKY9rMimvaT1F9bPw3yZUgSJnjXvPoCL4cEj3LQ
32Rt1qBJp3a6awY39XaWKYdmUXt+sYsNIMn+ha5K7KzCPQS6+WT2Alwf6ZrvnUMBtgBapiAQ9Qyq
Ncw9QlPAt0pbkVzpqPwHVKf4YacL69W6cF8JVy4IrgUGayssbI3Cm7Q5FSxTmyzRnembXdZwZBsC
OXM03EH+klxIs+mFOstWsH5tXcWinRSWFqBQu8q0Hhtji275ClZpuyrb+pb0JJi2Vcz9zBKdVF3Y
FGtPwW8zhcGdFRB3xPutGgnAAQqXC3HFPdiCrJD5QtOtFVi3uDB2a4Xb1RR4t1cIXtAtNsZNxeXV
Loxey63Fq6HAvfD5ABlcaL7+hezLCjzdhxO4X3kh//oKAlxfeMCBQgOz84USXF2IwThlu31w4Qh7
Cincg7yrd5YCDbP8ovyzFX7YUiDiwnZZWYO26G8mBSpO5Mwerbjwi32FMtYU1JhV3PCtUqDjycr1
k3mhHzPkhoRs2lMdLH3A0dcRkHb4awZhp040QCxCJ2EsdVHeh7IpV570h2Pt1PQp6I5XuFsPVjm1
LIxzJgsY11c9Obf7RHJsFrpV0ZFlD2Fud9umHljEmhYepAYfAfQeOeVLEk8c6MPj/HVmr0ZItu5U
q8Ls0OsUBOAwNvKS61Gtz7ujhZUbFokF7iF+noE55TtoJLnEqjJJB+92VJs6w6quw+J9HYwBMBDy
Iq71hHxkyD01xtZU3JF/Gd5wLI5buJTzvg+HJ9vK87uK8dsdbUpgLERMUPaAS+CFmYLXLfAHDIdo
CuWTx4afQ2rgtvKY898Q8JrdoEOqNk2YQaKMpXX22W8xcaLzTewasJvO047Z0ETPbvjdpvJcckNN
7LjnxBe8XUeCPm9gqSyaFCcWK0YDAjOOqatK5+3PY2uc8FsE86Ke2+De8mpnn8RyeGBw7QHN7YPo
mzlr0zVCji5TLuniahJTcPaLsrynVXf3Ib/4Rwk0Zz9MtY33G0LDGFR0IVYy0ieDKdqFOkCnxJqM
xai33bpqg24tW5vzqIv1+Yh631X8KrAZQ3LD9Lle2JVhXgeYE60Fc+3gboA5XECRPqHiCotlDrqZ
e60rbkLQj1v1eT7UxagT4jHXO44Ld5tUtQZzFLc77u3BvoXmFX0F6x2r3FvWRTWNHq8j2gm9uDvd
GrIetv7k+/te75qnOiCot9cJk+d+IheK2QJs7tL1UdwPAEEW8zSJVZvkERt5069uByYNWJ4TE404
+vg1iWxil1Spdd3JLDgRHTTuGx6MLFON4Zz73ocoYv9Db0yjWNiNXb3EXRp9EfAt902hldvcjOhM
456jhssv4iFtYWNUqZ3uJu4TeRP4lCAlo5mVbHXn1ShijzzmPFu3qmtdDLhcFJxpQEeDfcMo7vPJ
f4kNoOLrPmJYiZKk6hQ/0jMwm2eD/xprgby3dbCuN04N22nH4JhM6tlxpL0k6acSV4YDkGgL6jMH
qjy1AGiYAfh88oRzTfd1Fa5G8vUm8NuOy9jVUVCPnLFcEg44NIwiObZ1SgPXtVr0YpemHb8ZDrf4
cjKksNf1MNchOVDOWM3OSdfBB7bbIkQ31R24ZI1aHjAAOVrzBp75lbJ3fJZSyz+SfjRgdXfuA4HJ
5aGq4gfA2NM6M6tsT2hXuXQ79txuMd456fzKAfhpxdFb0jqvLnb9d7NomJtZMJMWjd29uj74Fhro
9KbSiYmywIDy5Rhql4tEQLbVp8mkl9FMSWzGAgWAhxGgi1m2FlN7a2JCmJYAliJA5bUfovGCi73O
ZmO+jRjrqJR72Ena4p/u6f+EMPRt5Kz/eYXy/2vJ+Omt+XF/AhSZn/mf3slB84gp3L+Y0gX99u/t
k0WnxHKC3hcjgEeD9e8mik4JG4BvuNiVDLg2qr/6vYky/yV0HEwsUX5frfwNpKEiIP5hl08nxv9M
5OrE7il1Jm/iRx10hc/MKvE+7+3U86i5tf5c52ix5iAaD2lYIcDRimRaFsMwfYV0614B3ahCMO/6
cAdlTSw6pFVvKRpMyibLP5NfYD44SUI2h0NmBuFKlnumcGruJiAPD1ljp1vZwV/OQkf/UpSBt8Y+
lrCKdtgX4oTtmyQB9ODVXPfJQFZE05XzhyiRBsYBQ9olgkHjnjNEHnyKqWPgmum2M5lTjG1+KkDR
IegIshVkh+iAhHHY53GGMiPTHDjqWugesKoSvhmk43UB0W1bph5RliBUEE85o3E7ap1/RjMpTvoU
i9NkTmCWevbrG8NFSKfTF7zo9AWkmcobfXS6U2DoD7NApqI7mH/yyqLRFGA64EnRTcAjInlY71m8
o/ppb/wJ+jBZUuaagMSRajWNu62divLrMPAiZg0+o4rJzeXBIB/Ja8elPJIFuiVsJtn5TduuBmvI
VsKdQAfoRvdckMBy3XbRcNsi0fzwp2F6yevOvA2lN+3MKYGJYibjLe09qCADDWRFRNVRjLjUM7Mb
KYQYvpU94H0XbB/hUiNthMwRXOCdX1TS6nBmmWDz7Wlp+uWRk35vBTjkOZhA14giXzV2cMpkme3x
L+5T6cpVWBXzM3vjaltVvf0Z+ky+m6SNj61jDVvonrD+syi70WcakA3HInO0qWH8Y85JxwZ9Sp7C
KfbRezlQd2OnPKBRHO7LfqgeoG3Fp1k44oTeYewXHamEiHyt5irpRIpF3iq3GRtKyI9VIXb2mLrJ
QkKPvJ0nNz5BxZ03k+viTNNKz73L45IKDxmrh8zD7LGnxuIGxaR7YKWmHjGzlX5041ieA8dJd4Qx
m0eVfbHNSid+7TyXsIQy0s95WNq3mZfOuxF3+FlovXmkQih2dVeE19Cpmodk5jE+Zk26z7QOkWBA
genntsfCsTReWV04J7Tach/rCN0TklOzRYaCbjNYkX2dlsPRiAaLyxFFv8b0vYvC9i3qPABiEyrW
tVEG7ltlDt/sasyo2pE+ZFNm74sqsDaux8pncnPjybTkB8sNbG5aaBmvrpc/FL05PzXYvrezyMVt
ETls4kbskAc0FSoTHJkMWd/Mm9jBONVbE9TJjcseIF1Ypul/4LaPtnmv1ndznD56sSCPnUp0LVCU
HZOQL3EwzXiPkNlZeZhH74Ekt+8Ym/oasLH+gE4AhMTgHIqh2ua55yDEI3ULAmUib01dB/sepDtn
GtqDQ2rw3pLoDxuchowGfPOVOTsod7hbG+JtgOY0AIKCfEzuykZY3+axKggWSaLlHE1ykZS2fIEM
Pz6ydALoYxAHyhfqigXB34DT4NzfYEDcDKlTHQnnIJ7K9zd2m2TboBnECf9Auq3SW3z1iBgDZNXS
MfXbRITmDnw4DXs6iB7eYV9/mO3EOyHDZBCjuy30YVz3qd6xG3VN76V1p6pk9DmnhNa5UwEMeQqv
56aQW42E0HgxTba7rPvRofrTwOnQea/ZQzcAiWjtWHT6/WMIHk5FafpY8+tQkbwbQB9+WYtjWFbl
CSKRWOu69pJQi+JfDAFE06vDqqQJXvoIIJcs/J6lNwhmLI1YFwIRqZHI4j3FawT6J/Jv7cxz9k1j
M6tRoPHbuNXkysV4aEPsenMSd9wmwvZuRONkLfGNpjj3HgMiL8hmEGBe6lAzFf4TilFxZrAfPdOf
xlfZ3KNOb50dT8SZTrvpzyy0sMf2Q3LVJA5U3Enzr1Ca1DdtElSnRAzVkxbE6bmRWUnD1oQbXFfh
ajYiMCpNZT7LITN2DglJcH88JLcjw6rZDbvTYPvlm2VW6uHSzdZLlKXxY4vSPV0A0sIznfjhtpsj
uUY1ClJWD6IbXUfNPLCgWfQwMe4F+kFlcZ9X09SW62Y0vCOWVjtZjWkRXZtuMnCh6UQpaWpNU+IK
3cLE7rZ5PLZ76c/lY9oF25h1CYvDYL4BoWGtsThBX5paMSfLTsstqEXjRmWenvU+NA6+jrp8qAwW
zgzu2efyuI25xY80fuXOJaC0WMiq9l+l48SrLB/ESxrUwY6TKdoHLfBfhrs3OIK0jxLa8qFsPW2T
AYq51uM83dtI3jeOFTa36TR4j+HgBRsdncI9QQmClyOUegn60KH2dusz0433vJmnD1JiOP4JhZ6R
A4wWMltz0BF+Mic1Gu1oQ/1mIpsTlARe8XtdqoPoR+NM1X3rmdANkaglITIICpFFAuhhWpLQ0N6C
9kx3BXphhEMozkGD0omzLA686tNXlXKvamYwY9pVbBCH5OW0VCp4oqXEtlWtzVlL2e2pClxSituU
5ILS3KVE9yjVcxZnS20eWHCqOr5WFX1NaW+oGh/Wnov4WRpPLO7yD9Rf4zPjwlfve3/AjLClWwCB
o3qHkl6HTiL93ldQauV0GfOl5YiNorXWyFOiqxEpzaobQMPeVG01OS8NUISOdaq3S/uBL07Dtwyu
smfFzYh2C6S2nLcZ7pcTw2eteC05QKm9/H6lj6RNVOycs4OnEeXeDImxosgjCzGc8gOzfvfVnuzq
i2B6nNwEY5Qe3cjW64cumqNgm86kZ+VLnCtz0SzC1k6+etHYaI92FYz2Wqc1h0CsxRKXPuEHq1wT
bKDQU2x6p3luAN0wZUbGISa+yTa0nkegMTv2mvTNWdvRwOfjxmfNu6SxOcS1dUXqMEHwQiOSU4Y8
ZTQXUja1yGM+sz2PHMM98ATR7iMtDq8ICNcZ9unTuY/C6lzzbZKQh7Y6ioc3C3HZofYdbdFYGoTU
HLB03qlyy5whZCCgrY9xvJfBRroOLoMiaHdeaqKoJ8Bq2zi2WDL7vs3gja6SSgv3QFrafUey3KHO
jPjQCvJ49RRDgauXV1HgtKspdKsvnYm70hvtaRtXPRYShN5rJD2BkvUX6yGwSlb7keRBFpSkVfI1
7zoBFrJNjWxrg8H4tLqAMhoPajwC4cFW/hXthOM9NzBE3eajs9xKAtysLCqOZYy1O0v/aeK+55L/
xQoMJy5d139u4pYFQYJvX4sfm7jvP/NbE6cL9GwWhQiXj4NN2aO/+62J0wXLMbomx9at7+G3/27i
CO8RSqILeMdnTXXZnP3exJF96+uG7zm/W8D/zibM+kmdKTxSdJFF+1hZTVqsn8lQglNCBNqsHbFv
VAlqIt8nI+Ol7n0rrw+JIKCrgi/peVGypSwCc3hFbE42QLTgqea2JJhMVhkqhq0nzVOuGaZgLqW1
Eakq5cIDdd1sO5m0Y7CVXmzH8ZUdDj3HKyllSdCRKTjzWo/CpjSH9ME8rxujK9T/NmAd+MOuhlaO
cEGt55rPDghczQ6u6pAiDKmooJg8X+yihdMCTbkngA0VKijqcHBvOZq6yL+OY7Q6rW/hGEOLoWWA
D3IVEQkKVJsWJMUQjBPaBUyif+6a/9Ndw2r1rxbHyEebon378b757af+Z/pheSbjC65KZen+cfrh
wutTsc+eIxRqgPjnf6+Q/X+ZWF/xT9jYT3guoo347caxTFKofe4p3RTMQNRg5G9MP3QQQH8cfwCD
cZE6wCSFicVtrv8kQDARS2etlYtjztMpqohXI751NQL23cWtPpZr9rQgd1E9lfVmZH9mrh2UQt9G
Gspmkc0xDEwG96eRp4qPkhPJ1/M4p5b1pOMqoVpr9PfQM8LHbARCHIeO/dxbVnsiJLK9UQvpYBMX
0AR5eGjuiZtKobEdhCtbkpQk8LMkP8ISQa41MmeuW/NdG6xgOoqmGj3cKEZ71Sfc5o+mDDr3qpmr
WfDYdQbWSRat/ddkniCZGQ0QVUcRZRJkcFNDNDGcmpVZCxOLr9m9YrMbgOEwyNROkkyceYHJyi15
itr2fRigSV2a0MnlukyD+FGP2G+F0ZDPyzomTnnP+dh8deuiuncIZtg3bhttjTH5mlYYxWIm08gr
qxhdaG8YW0LiHyZpyhtahiDZ8UfME6swRjbtaMaod0w24VhGzXWra28kdCG8FUk2qJQKTY2EzXWF
LAEfmwfJfY7cymZppTV3ukjtU+/b45pVgKvvO9+vimM7+8HTnHnufenawUPdToZHyE9rapDJSzs9
sglgV+kSgPxCJRatSex1lxLnBZ8B7XPVjfnB8Yv0SH/IZ9llAytopwkYfEzTcGw7OM600WW0dmNn
vqtyuhexDUKQAlJ3CCKsp2FhtAOJTcOcA8id+mhpcVJvvCkIduD8jJdyNifaqkabH6icUou6Cj8N
izPhpU8x25z8MYQrRlZOh2dpJIqxTf2m2RpdwnZ4H4V2zpwgSWFwv4UNg26+OXKhbDsFjg+6h+GC
dZ6xl61HEeCvxi67j/v5zqPEUfncWPVkMSQqckCVzlW2jBwf0VPXNghKZ81k/2Abwzqdg36JxqBc
5Jr7IEd7ldnGPuzqkz15qHeHmbSx4mxVc8UwUW6tMQsIb8s3CNiaR7bBtyOK0AVFXbgJ2RGhrZhe
dTEAnXTjYBMQ3iTSpGEfHkXr2amSqyrTxL60Lbnh4UYjRMoTuVh6Q6YJbsfMGuODBex8M4BUOmrk
+uxFxa1pOKnx6E/Gl7z1rGVFKOUiiVptabVJvylyt20Ptmkm+yYe3usCCjl73PBYOcRZzXNG7ghz
kAJ+f2OV3caa0exJrVrFmcYiutIoOGFwRktSwb7Zc/WCUx3RSFCUIEUEkRNWLYHDW96wwhISXuX2
mOOwmcptlcz3baxB9wXFzZbVJlG4TvQb3n1yTGBu1otgbMs9VKHuG6KKaeVFJh8ON9sOIDHGfhTQ
eTi3O9S4OArt+8pM73goX816gMe3Q49hzA+xw2pDNP6BYv0OMeU+Z6G2Yki0DhM+/ZBYJ6+3Hpuq
2nrTeEoMbaR27sZNTcT8ug/o58LAegLrxFAiz5qVnqXfUkvU6MkHB9ZB1N3HWn7yKl1nG4oSuGpt
DsHYO1klW90kY4CIhwwwKP6xW9EBHsgA2qGR7weurbLRUchHztZo2DpqLLB3Xp1+sCyL0XAK/+Bw
XNLJmMFiDMzkDGQ72eEciVbcFYoxWt32RFpphBx7c5GfRxbdbwCZzaXsAlKevYT2sywN6y42KgZK
JWECfGH1pgStx0AxehFa0+O7Hz+jNtN3NMJ4F6m60SF609LWAv+Al4dUO47129YcUFPOjr+XiXsX
OPUtAX9iwzHhHYtEIzCnIYH0mXOlWxn0yv2iNNvkjEKjR0ss263gi9qAeO/OdmhHd+TD+Wwbxd1c
a+3KSrLXJjSMZeJ3WGGzTa501mNSEtySN3eNA+VNmfuCTiSbxJQmb6+w3iIrPpM3w9OBaGAmf/42
TtqHFHP4xiB6436Qw6kkqmvJXjR5dLXk0Q7ppknFfWtm/8UJjb3R2Q7XcVdusjQFg28MG0Baahm6
9Y0k4FOsrLOhh9UWvftHTk+5tuu52YnWeGDMKLmAJc7KjOn+0Ua6cY50867zy6u0iZ5Ybc8QC2dW
4uh4OGnXsAy+WP7QoE22l1KdpaXm3XiNuW1icFkjX51KjwzJbHNm74tEKfqS2h7oL9PlVtMI7zDc
/oRfdN1XLOvI3N7YBFaw2U+8RdWzKUY8W0RLOaXeFnvuvI+KdteWyaGPA7ltU4E63deIf+21DQ+z
dEmuIy5KTJwZgpjO+rA0vi9WaJp3nmZh3UYg9RazW1entMPoPw19sYbZF72XCHeXwNyvxrhSpND0
Ubf6Hdzvk98TAcEYyV8bdXvfT80ZE1r20Y/5jqr8JUGrte75fWAOFHJJ+R0f+8nc6zVxjfD4PGwB
xF6cR9tKSWMIqnLFOEo/2rEdbgifgG/fheZrUHRwroVOVpBWgyxde6wq2bSa+U2o9RhVizpyli3P
NaKsURwUjKeQ7ZWbvCu7KyPMg2VsMDny1TQmMLXHSEMq3/cDGh+VO+8hYQdv9KSxYbkWYdmPK4tI
OOykE8P5OxLikWo2cj6MvflojaJ810i/Il08yzu5sd1B7WNSfagXgF2nfsdzFltD63+gdLnRI9wh
rTW0d42d35Aroy0rqd0Smt1dQzB6blD1bLrRKQ5sap9Bs6cPI9seQ0O+rfPrrYw8ZboBQWg3IGV7
S2ZA/oMd1HuTUcQ6KchacVKHbGWvlMuMLfsybvpXtqWkmQiSysN+kE+QPwYg+o336XR2uOps2nU7
MtO3wnPJ4mTGvZCd92pKG8OEl7lPrku6lhY4ZF+6UfKQh7lYjAiWtuShYOA24aGMlrqJ+MLQU48m
Uxqm4NzXvL2wbrJ1RtxwLd8nobl3vp/3z2bTr4kqic4I22z84Dyy0QTp2IgZmzCqLkmZKEWdHvEA
46Bh70uNkIcn2PC7VtLyaLZbrrvO/2/2zrM3byTt0r+IAxYzgcUCyycrPAqW5PCFkGWLxUwWY/HX
vxfd3buyusfeWWC/vcDM9Lgtm7nCfZ9znfo+KCldMdzK4Q7Jc3BcfK/9SKbisab8/DBSUmVfmCJq
D5c8vcLm863NgxdG52KPuSXcDioeHtNMXHoU4OjCA0JwJyPd0XNhgkhDb9tbaP+la5nVhpagda6o
5m9qy22vwK1C9Os7fVUC6zhOtZi3vmxfiqRcA7aLVNw2zSg+MEB2884ebCifXj/JAllY0u2d0smZ
vDqj+tySHHKZeNrdF6wFn1bUAb3HoAhWt7e2PwDqFV+rwiWTG8B+1C49OecxzXBDFCwYBu65tWYX
LYhGWQCPF/6wGJR6sXrb1k3MRoVa0ERvLL6QYbEtWXlA2kjHRBKCKspJXqoBaWdejsmH0GAhKq5Z
aG3KanxS4XLyrOlbTQvo0Db+si37hg4YPclTTHR3tMxuiDTfPPDULtxsDVtJcQwXNez92Rm+jD0y
UGuBGV41gJDdAvqDilvmv7w+Sqei/Bs3fdQEgoC5HjWNVBnWeHPaxco+ZzKzH1PHU4eiIX06lWV9
SUZOucn98INe5L4YW3VP+JVzMMVXKm8smLK43mVl/CgScnmL1trGJHyikGoa2nUKqz+J98rT1c5v
i+MCHnNTwi2JKHSITW3gRUgJgQwKqre1St3ICQCPUOyMgiWXX6awv/JY4O/NgFtchs0jjuJ6B1uO
5O+0vJwok24zEZRbtio0J3oYn7BoGubEoj7VtXMfTqVz8BL7paiGx7rR7o3hQScmzInlsqv3WG2c
jWqQw4FaRCHjqmt6MoQnLIb1VEBnprxWgsTsuxIhKCGPszacKBMIF4lf2mRgaEF6ZHV9lZcLgOJm
3tcda7q0jtNvuSI2cib2bkl5y+fCi7RJr82bg/iRNu8VLA7nrBzwQENbvbL4xZQnu53IlnojDXRb
szPeEJAr9ws4x0flZOm2gN6zBwEVosBlsYO52o00/MvrPGFw0QCs9iFSvrMXxF/NTiXbMJ8xjU/5
fIdmE4hNBwxeFz6rHoGz32yyMwXO4QzAYFPW7bShCg5jyDH1GazEhUGjiR5ZDQ90HEdMWv50hVT6
W81+oxDGZ0DOz0mDlFN0wxXbXL12dGhpLSfqPONuIdOlkK+osQBWeiQNCjxTxzZXt21qX1azZHiU
hBzRrDf3TcP2drSUfbBRB1i1K7A3ZZeBsJlAMxMOUPDo+hLTU7o8z/7wEg/J17rOeX9q+27or/06
fkRe1mMGq5IvhgH0dXCKE5KfZZPY/tUSBp+CBpJKGNaHnMkxspKAfmuMcs2oTAEcu7nLJlZnRpeR
0TMsXRrlxFkAQKknlmfGLYrOMYjycl6YEsi7iSxmgpa6cyP3Ogi6k+IN/qIVwrM1086OJx1JG8sQ
GAd4SJF0y89FnZX1jkjl8syURVbNXNsFC7waco4lVXU39asQ2yASCFBRfshSoiM2jUXy76aGkvPZ
msRqEhvBBLlN+zgNQXEaRxKbWVXnwL9kdXDCytk3ekkuJ3Pw9oosN6D6SdTW4U0YDNltlRri1U27
4XKRqXfR2IE6WgWm1aGO9d6dHPXgVMgNAmU9s4fPrvPKYYOfmDegItDDdnVyBWbZ3gzCcq+F6Tm7
dpnng12DAstGdkuoeY19T0VxqxBqxHZVHcaKuONkJiO7XEkCKTmPW2obBpHZ5g0AimDjNRmKN1nE
BCPRr/ML/TUohzBCq/fsJwV3jEXtdTUgcVSZPrlqRPw30cEqac7VnfSZi8MvWC5Tkql8e4tAY1yj
DSqWQWrBnslf34WI3vh2Em9muceuf+9YWUVlwIIfMmd7WZvFiXXjic5wtilwI+3XuuyO0Vzz6N1q
VwD+yiAdsJlCGZkZzoGtMBUXe84+j3kYspJ2TMy+qHkDWJN+c9ZdeFl1FQaUPHO2Vuy7EcI6qpVs
P2phtbCfOhPHfZEeu9wRG6UaxAR9Z172edtfdLX92i7DtQ4BDa17C2tJz0Quxrt5SUoSHHiMNbzX
LMwxjRUFddAJ+yltoX5LW8K4JJLvli6WFeV1eZ14/lMdhN2B9XW7mdfAn26e95UwD8lEvaPoXfYy
rtT7IU/5q4LBiiiOfl/q5s6r+2vdEPmmVl9BYmOKbNlnWXaF+oVO+tRLLq+gXGN3G5OuaFTQmzjK
ugAnnTcuixZit/hSN0NcQPQaesZIGkdbFoBfRz/7mvruKXDa2xmM0AkwOWL7tr1kiH7C+FztnWHe
sdXiTRaojXu0NxFfA81eMViHYJ4ooyxMuk5vn1QjEAQZp4CspWUkYLFtYU6x0Vmqj61jUDaZpinY
W4V4YOy8t0hm5IowbObexM4rmOA4sB3sDRMHWoMISbBJjVMEr3jYI6SxXwmuCe+yhFIxq9lDO5Fy
58328hgI59ZfSG2aG2GhaDX3fef6CPRU5m1YKBs/ss6JG/KzhxKRaiDac7dYl3ngPWN3gcX93Ivy
MPTBqxp1wzY3BYYk6Nt2Zbhts2ojsibbLu34ioybJCIj/yJbQ+5aYDOblUOVWzUpXiQBRP5Cv3lb
kUdOYMfCsgWeFXHFt0oyQG+6QXnzpoFpelMOo3VhsKZvACmAGJ9GNuVjqxU/xEzeILEg6LJpd1U3
V2oryb+YWu+yIYsK8fjGy+YVeJ8Xw54qTnLBlEUrbhF+ywyt2wG026IODrQkvL6eo04pqPnbgFGN
hOdOKLdkadzKIFq1k/2DAQan25fYZvUes8akNraQlNo89gia4cMaaJE5oWgtmr+jdgnvUsh+tXk1
4Bz82uWzn/cYOMOOisX/n3o92cMrtLf7H6uD7IXFBeOc7P/nz78kHfhPg9lqm/rpFzDt0l7fDd+V
vv/eDQV/lL8o+V6vP/l/+5t/0oN/079C9U+YzS/6V88F1n5V/Zyk/Mef+quDJZx/CYrqqAqtNYHA
5S/8q4NlOf/CRAU9xTGDlR5Mc+svLxdtL+rjGAFx57HmW9Eqf3WwrH9RHgscquer++o/zNQRHOMt
Uchcm2SWoBeA49B2LGf1Cb4hHCHUqJt2GOYzlv5wB/4bWGNts1dmdTuNd57h6gsSIKp8Z0KSQurj
jI+507Ew7cKq/fjm7v2D9VK8N5ZxNg5MXcqp8GvQHa5n++ZsmFqbPMR0hSQLu0uSI2mMBr+maIZk
uA6jcXLQ8Y4N5hxVBmTMt5kCwULVzHc2KLSrb2Hfmzf8HZKCUFGIR6gNgThoz42/C22Ief/rM/6B
FX5DwVjvn4OPkpkO7JQZWO/aGE7qS56t7s/27CYEhNKCeBzXHJ098iK67qOmQLlNkU9QzfAoshGE
aR/KUcE5VGPdf6P/3wlS2Bp32wFCH6O+lCZLSuXmyS6pM3mbD+FF2WGW2K6gqqdOtpc5iMQZOJ3h
XadsPMrDr6/q74+BPqCJw9DHee/ZPy76zWOgp5dMRlN054p4tKc6WQd2J0fjEzWwPG6RhoYfmlgU
n3592PVde3svfQFch+UHHGJz/Z/1tN4cFi9h4jRdUp2rALoe0KThXHVqkwaxfPr1kd55fM31SAh8
TZ9lJ2Crta389kgNsJyFQnd9Dhjjn2FzovmM+wAvQ04zwWyHYkGTr0ECZOi+y9+9NO/bxlwl4BTX
Ysvr0dZ+f3jft1OZ4PA5r8qD5zIb3OecTnlxcIm02gEqpu9l8ugPU9H+UIHW/ve163CC/ufgXGfl
CY4go4qV+VX5aKvGsrcy0Pp7Y7DvNY2l9DduWDvqSF99+XOg/2MU/afP9O8PivwLhg0I2EiofYcx
7e3tMynbVK4bg4SjcPicqr6DWWfkPeIpdLdVcgExMaf7RkFyXlq592qaBfAZR/+1JwWx3mgSTTZO
nY3fU0qM30YX3c/v0FB/i97B4Qy0zUcAztjK12n/fJYeRilTyd6+zpy2icMAlr9c8LLMdrjviXCk
m9Kad2Op3SGSkjWyEtWhs1RzKBBmb/KiLe+bwi1nDP9T8nFie3LSaICjxm2bR6/LyZqGV7kZajTX
Udrb2UQAYFedp8bobrDIgFtKYMBFxhJD+LJGWR5dry/urSy5RS9kzzTR/fZMd+Wht0qD+sAIJUWk
2mJsAJW7ROYUZFeFdIPPsTk4F9ILxNWSzOAkJox0JfoKnSL7VXSwJh0sWzGxiFqy+aXp2v7DQLVr
FUH3/j7GFYJu2LIeWimmHHusIbC7yDz+CkpCjVFatcaXofTLbdN01imvK1ohbVh8o5DC0qexy/xD
GsYz2X+tk2DhVMMGpVNzEI4V3rSgkHfOpNq9ELMAF+P64A6oacJhHC0Z0wmz1XZgZ42qNYHPIigP
M9VY06ZiMxcFvV98mksMgpYKmw+u3buHIcR5C7WhXJ4Dr1a7zpxBxMDpSPbGPJvPVldMr13SNCQw
Wr1JbSexxmQ/9xlyU5awO52MQ7BXdYx9s7fLY8WPRgzn8G09+M20pdC7wzCOJz/ya3deIqcnB9Ym
OKI8KLAPbL20iQdIOGiTyZyMMt6kfm/3E5uE2fbnKy9fliK+G6a2L8tIp2Ak1DcZS8taPneTMRMJ
EYWKobx+sXSZ9baKBvJmGvNMcwJMwkWIx+owhkMfEwGVpg1bBqLcTd+wT5mmE0UJBEl9pLHwzTyu
Mgi2RHUyH/aEw7fExkyJuVFFL+Ib/EFQeI+59ie5hQG3Fok60BoJWy2UmmzumAv3Hr27+Abdow3t
C80G6jBh50RHE1CnKKK1TF5sn4BrbGjF4LigNGZSDKq7GCU/7SK8cRN90pIGDauCPZq7ctkEi8uI
WVnI1TelVOTOjh38idsuNUoCOpM0eDWG0U9h69RWf0iBTQZnej0JoZC23/tutqnmrl30sTMZ3eSu
SaS/JviOS7sHgFmle10AgDyaHfjWjWtpAjj82dXFQaUt/QEeq/XRaEpSMG3byzEj5qVp3BQZ3SZu
eVV9zEDvlCdbhT3UGNl793BwbHufGbUlLuUkO9BMvrRkf4CjRNYbk7F9kSXICfdDwxns6h7+0S4Q
84IcONPNdF0GkMJ3Bp+K2sZCDBcK9FaxTWI7GVYMCo8z9TvWJ9WaDvi9yJEzbgNOoNzSc5btSZip
c0xSP/fgE4F12aZ1yvZxiEEdGxOIydssnjJnY6d0L6OyyVAaEV1IPbmJE5fTDalBCy1hYMtUYKHM
schP0fpz0VpyJki0TWz2srCSl6ifU+OLonpBZSHlO7LOoF1S+ow0JA37QRd0Vc5eE1LeqMK2v0bn
w5SUdPBGjdXOy92KUymqz3gjK3nRwr2ZaVu5S3op+qR/cDLLfXbnmDipAACTTd4qlZBd55HzFJWD
WNnXNik9m2CKd0D72s/FNLGyyJJs/NC53vS1UdI+jj6gO7oqrskeJoj5e6jXZuzD1YgDGny1c9f1
rngQ7EDZjmEbI4uJXS/abuDFxJXOWANPlQ9+5yY1/PAJU9v6cmZZy9aeBll3O2tIUxuznXg2aCk4
sZodtbhkBgufENvzdpeMkmoLlW+uT0gOY2utJuT5vRXAKjnNTjYN1/3cr4vPNY2OkBjSWWvEzxMF
1gUs42yV/XJYXfNc/HrqE+MT58XG8Oy4VHzuhhbJfCRpRi2bMB/5dJoCYetdpXw+eTWwKkj4PcZU
q6/kTSscjXXZbqTJ457UPFyXBv3cCClsO+/nNdhzB9iWrS6/pv/EFTGAzKFY18l9VT7FiH4ugjFN
A8hRROdRtU2856myOY2ZutG93c9md5mwzM0u66bKsw8Bs8Whowh4bsOk/QyrEEuMdGRqXdRBEg6X
MTkl41Yrv51Y4Gr70FjcVkScrX4hhcO9nYfOBAVm6jH/OHll0h3L2ChfNfFFjCE0fimM0PpFFW/p
NYqehK+PBoj6fUnEWhv5DsOcVpO8T+u+u4Qtk7lb11JWwrDnOkxH0gqfVGaMya6wKj6TxYiJpnSq
WrTfSwZkDXCOV2o3rSM2FluACPsZse+OSWZqL4UaLI/uJWVIZlpM6iy92+wL/PLwwdAs0y+oWCjx
re8qXO0l2TLjKZ0ARe1mgn6XjTMlXnJqeCyUhPLQ2y/1OPZ05P3iQzZ2bRT43dEp5xE/1+TxcHKT
ng3Wp7yurytvdq7ghIMEkm1VjpeJBrG+CdyulA+sRLpvZohDJmLopGlOFRyLfTiNQcssoNsPuMRE
umYg2cEYLazA9CMSKQDyssUjgsvByJMLI26mr+gJSShDOeXhb4E6eIfqOCbTbGi7dJcuAy9pavWZ
fUulYnHPpddg0EH2YHrXjpCUODWrm24HAounNgUVpUu1+Hhjg64rdmK2Z7UdCytQhyVAkhghHYJc
oGMkMmRIdzTEJleLh0wq3jVmuvCJd73sbivkMAywVhOiySmlN0XzQPV8gNkW4fP1H12rAtg+uUnv
XCNBDMb7NqZ2weTOG71ryGRq92wc9HyV2n1eX/mqkfatNZsFvaG5hl6RzrORXOfKaGB6ox2y8KaU
lMWJFOX8FQjPPalgOQKH2TRPugWOudXAgQhTi6V//WPj8d8wnN9UUoDErArAf19Kefquyrrq3yoa
//wzfxZS4GE6Plp0j946uTHumkD8ZyHFR5sIVc2kPgb+5mdFo0shxbXQuvjIhH/yc4LKRHsogOFQ
lhEmY8V/omhc3Zpv9q7s/rFQw8WxWTkRg2y+c3NiMhyWtA7cI90OtFWSil2WtL/LlXm3b113qxAP
vLV+gIATJebPW5p4YHi3ga8fh6yqEIEAdoqCOa7RWo3zbUmR51Qs9JFgu9EQefM8/mHX916x+ePg
GGoBM3PbfG72zwcn5YjOcB6ExwTBZb73FWLGcRYc1zXz+wwf+HMSlk1IKiXeBVwq6ffZYOnFhhb/
Z6HEEukhSw/9GBQbuzXaiyHHttMFWUXufRGDQ9AKWw8eKfg8fnxfeqQ0/z9cBBTfUMAMdnmR3t1B
U4HwZWIOj7RlVjpgvewp0Dun1J/0Y2uDCo1FzqrFKGEXCnNuPk8hVi+3TvSKawjnW6+y5tu6o8tt
jnD9aWuwKwnyAmrJmO+DkZyEMh36va4W4G4U/9PfVGfe7b5/PAf236QpkoJNheZdyalDwj2wyA+P
qc2QpvCvRTP1pINf/w43jlj/7Uv9x5ECE2l7sFYu3wOe3VGw2hYcabQT86h7Yl96L2gvUMO2d6ZL
ZsSvn867j+jH8UKy1ByLVxxd8KoZflMAskRXVaVRcLwkVXeMKDjthiS8+vVR/uH+OaZYZc5rYBik
7J+PEoJNCIrJIIUUXP8B+d9rY4eEGXfBw68P9AM//WZQWK/HtcBj+3x49t8HhSzBibC6xo4WS+bT
4gMSlZACDprdw1aXtioiIZHw1XWf3+vRDa6aArKpAwzyXuI0vAQx2t4pvUa7eiOUxYaeDo5oQdZ4
UjTxRV3AT0x5Nx/HxK9wCCOdMqIEtSvyn4SDzI1D5yuw6J8hnGUBtqTHX1/kH0j2n64yMLGycztR
3a2BXu/KdjF9LexNaj4SMQCyK6mnk5/E3QkJXL6v884ipLJ+naEabd2cRh0vb3YsqHrtR9H0+7xR
6gyhFG0vAmQMoJX5UVgQS12KXV980P4f3dbbKTFZH0RYohRUEz4lRQDug2XiHJRowbf9KOdHimrW
tgJ6eWBSB2+TfGE4y7Ejuu5NMljucUyJj2R2kceyia2dnXjpkZhIhC7oJnYSVt6B4MfgQcVudsrw
sW8r0Urg2Un8Ipl4NiQR4L+GhnrToLGC1rP4zlUZQIEEEU4W+mgR1olwdeMNHkKIXiTsyFWdP7F8
3BRtVYDZ1MYNXkj9TWsWlEEh+zXkxT64sZN1UeZJa0NH0IOUuTh3yKLMh2boyo8IUfPXRkhi+nIz
1BrvqKQ6DiQSNBqIp09+UGEKLS1qfiQfUT7I5qsFgdGNV1Cp6oO0CiO7TKcbtsO4CFEsP5stSk4o
WrDJ8u9GbgTXqM4MUhbSZGf46qIs8YAWnmh3uRWe5tGoznVMPoo1V1MfJQq5h+FXB9QSV+v93NYF
6Ffwc3jEalaqorQ/u+uazpmleUrysrxy4kY/GkXeW/yuuZwx4+IrQZZNKDnzy4a2s43GIQxOeETt
ZxV73W3GfapOVHjCDfpi+yF3CARveCPGAgNya9vPWLLrfQ56aGs3c4CiEFPLI8v1AWHAPPFo6Ld2
MGaOkx72Utp3VlwOO8a28dQXNf5t/L4B/mPrm6145soTzZ1WxXVKYhMt4zGHUlSQ/xFjM5MY7TbK
xMhJGS8yEwfdSzgnH6osuUaQ9EUCsDpKuhD3sYBvlymPZPP82SorOMCqyzZGRuZJ78bB3lZKXPnz
MF1U2AsjNBokspp2Eg0Y5KJ+NGOUJYZkiBqmjVi77g60z0uDjdchp9u4oc8ef0ZjoTmZGWgZ9ZeN
zG3Kx8psR16ucfK3TEP5Pk0Ik9lmU5puh8SzDqpbXaILAh0iFaggUUp5ZoFv3g1p5wdRpeFZRKaV
NTdLTcUhEp1oL7UWzklWc3EUNhwcv+Zz8QxdmyRMtdaSDztrImVAIkCLll4ijjWz6kWNTvIpi8Xw
zfM7/cke1XRBHWs85SM69zFpnCuFUOSA/jOGFm2Op0HwfRk6p7lcaAy8kZn5nQAmEfpLuxUrlKCE
MBjNxjI/OqNZ7W3TkicCsZqdU9TOJtPkVIT2kB6E11ZX6YzbsjLL1W7FLzOEks02xTV6ETZmDsQV
Sho8ZaTUnZnv42zUr2OvpvpsQhfexg2LgmXUGNRrXMAY1kEVJMwcYqGpY5lDszNHgMhcsbrwPSDS
kwIgaEniOZbe7D4uBFbfWHyoZ6AW7bAlNsiDdNfU43eE0QjVC7jWOsvUi/TJEkKd4D/JtK8Qr/vi
wTBZXxCLK+Eegd2Fjgsiu55WVUSYcXZoxLD4CnKOZtPL74vEaT9liJW3ublM29RgXWi4SOqLXNin
yWnzfcO+/YnNdEFgOeYRWMPmscjgimfg3dj0sfzy0FCw73U4L203Z1sueAnAcB0gF/hQYW0YuWQH
NLtQjVx5nsqb0CynrTuA8v0BcXZcBy89YUqIt5yFP2OFRfcx8TwXkYnNmdDVgog29lyS4cHW621/
IbGA7f3ODgEuCAYGLCddemh6C5hzhg009FEPslZxN02MVpZ1pLoYIfpQwpT6lTXw+JSOinG9ttqL
DG55EbG2sQ7CLNtDXBkunKLauNccQG6Ngpl3iSlcbF2Akl+meHVgUFvt702/4f/lyXCvTKvdKl+K
T7iiLrtc4OMb2/rQofWfMB2Z9qU7m4e+ZVCgkmCfR7tFYSTb+VTm1BXGIpP72o7lrkZrJGLD2kx9
n0ZuPrmYVsxbFVfhurNPxoNqiJE6cPv9/AW9VCuvUK620J+121O8qwZNbxCcrrItFV+FBCU2jKzg
UyiTWY48z9OPQKIf0/t/b1h/s2EV5rou/Pf71f9VPHf589vt6h9/4q+2v0XUMPmfXkg/03TI5/5r
typ8618sBbGv0gBkkevRPPuz688Wl5Rhfpy2pPvDmve/u/4uv+WSV4ynj+2lyar1P9msrnvlNwv7
9XTo3rnsJNEpIj5YXbpvF9qBP+qyHIBzSHNpstcC24INJYM4v7bf9n1m6acMbne/77RdkCTVadd9
meOiqa5EzSCKFsdwqOSsIqo6j0jeNmPJWiZnEabM0sBvzUbLWzyi1OZkJErQpm0EDJ740IUydzZQ
nGWPuVoRErMxpkfZD1SsimxI+gDBe4h7hLU/UIuD3SVpS05hmrmhAu4BoCjeV5hQmnSjOwIfjN/s
Qn5YD//PgtZZY33tVRPBf1ElW+/vTo0WlOFxcb833TSG2F4TX7LUUMBW8uswcUMOOUNvKF9byIb6
AX5vyKlZkpA/LAkU4ufHN+/WP+29f+4Yc0r0q8XqyySWEvPm+wgaUuDnska3+g38hJtfN06a5BeL
s5bvDhIMPNmFeI0lXigI/hAI82xucjpczDL5cz13mknChzGVXRTmCFNmt8TJsoLFZx7Fru8XuTxJ
ltSAhbwlb73zsuSCH8Om3IHSMJNu8MM/9EL/to38826Peg03GXsq7GlKJx7fws8vYSxxHBhkohKr
Z2jvg4v2sr4vi7hebn9999Z29JvnyYFshnmH7BPqyMTLvtvw6aJswwVV4zdqN9TEVydl7qB0NvnC
KQpnzs3UgaqXRDu6hQFABc/aeJ+n7m+Dln/eeq6XbLNwooLlBmtj+n0JRdgQZcM5875hflDemXk5
o59MEqLt2xcJnRJsQb++9r/dZBr8gStcpmWg4u46qL390qHOG35d+Ci9ieuo9bbVSARyps4lRqv8
62P9XC5Yr46BC8EStTiSjxn+fj6WBc8EyIJrfZtF0qXOd7p0vgSC0gy8d0ndrre40B6mid2vD/z3
i+Qd8tb/WIHLoPuuqMM+ulMhwS4vM5YOxH0ZQNrxPraIkO1/c43vAsrWi8QCbSHYQr7B4G2+u6Fo
2gXrMKv81pEFUPpHmuLVY2H1jFGbnn0vibxzuMRmeVWn0H3MnTvKfHnKOr9pSMcsGBDRd+K5RSKZ
UTdgxQ6frLjKx0SBDBsmx8G++uv787cHQ4FzxYhTL4I69wPK8PYlECHNvhn3yEsFPoWzUEaYZ68j
gij3Uw1Luba3cYkYKf7dzfr7g6HKBvo5oGbrkL/5bp6JjbWCplzjK61nYdHm8t10IAolgNZtboRN
fkhx5DPJ/WctiwQfT6sUCgBEs7M1PqTlMtHyksG89F8Bk0BYsAGq6ku31M7vAfzB+8+TE/TdH59J
SHIShZufX2DQCo0qgfx/xZhi8Slmge6X286bFS/Vos2EvNewo51xNuw45WvqKsdhMqg8uKFyF+ZO
ol94AcvsFVU/d4bpz8lZKI4CscvrHwMwW2BGF0AlCSiaJAwJ6x5LVJnshTDy8HQq1XtMw5UtRp6I
LON1iDY6KTmgRWOfcFTg3fPnRfPde1E7LzH3wmLRzyBvLine3b3ltC7fdyundL4FyZ6V371pEKhd
7T7ulls+/9D9RGorrya5zhnnuIZIVPgR4K5/yru6yUis9uZieVpYmo8Po2q98b7L+DdTJKuMEQTV
jFfzzCw5Txy6tFH9aBRTjcGHHgf8HZQmCPeR+Odk5VUulNXM4ic9kcb8SMqGsPQO7jjL/q6f/JLJ
jKiOjCG4w9VBvHGWhBzaSKeQH1/saT2akejGO9thTgMZlxcw19ghKO+6cKpAHybBxvgS1a8eLoaZ
+BsCVoJ4HfnSMRX6Mhg7XB+RSXQr/2iD2OJra4K2J4+pxgmU58c/L8DNesmlVthqvGxrwvnghrpm
xevXES7OIFaUcMzKHb02j3+kfoPEA5lxnpFo/8dNaAEIqZ1NHSGlq0dG6jRHbKZc7sFgp5pDz41k
cNSoMOG3/3FXHTZ63Dk3aAZ+YEI6nhPTqQZCUYUM1yPahs+qTbMJ4rY02m+5vNWex+tSg/jOXm30
O7w0Wexl5X3Vu7XvY2C119elcQGuEjNUhSFvTWKpgmdm4yPkTwW+iP09vfw8sC8MNFv6paVzyT2s
iR5dY28ZGEX8IShIBERo7WOxmE5k4405/s6lWtduGc1Afk9TnlsvIgtXF1trIxaB8EyOLGfsWyOj
wE6BcOZiaite31/FxolfJYHd2uNF2I0Of0utaxQ32yGzA35lJL3P3KVgO3FKmqvnX04EgvMPJ5SI
7Tae7/MJ6qDNeVNsGLfOEfKJzellZRqs6zaYJ9QWOyfg/U8H/Aj48iB0c1roptd73I5UWl4HwPbc
ziXw13euYAnoHLN+hpK/T0xvfUXXpfX40AQV/9uKoOAD9qETeWeWjgurDGdK+c7pIK9yc5RWLMSy
1lbrJ03/hL9UIf7lSbgd68aVOivs8QH4JYiVnaz9ptPHkXZ8Vl7DDaf+umsV8G72xKzF1rfaThHe
bdHLrlm9c1C4tGAz84G9MzHcW0HrYB2ZZCFRTXmmsafElDTIUsFXQcTj3abznoxms9y6Ws+8/kGH
ItfZheVE15yFwlR7Z88lP5yil9kX4Oq8OLPTm1rIlG09a/X1CVcppRGxt/iWRxJbCUsFLTMr4o67
zVxQZpou87jzOcfY6Hg2rROktQvbVVRcTAWaKak/UNaNHYqLXR3OuF2QxUzFjoGY4WbX20mm203S
DHUYUunwgnmMYpDF8ohBHQMpSNScYdZ7WVC/ERHBYKu55jCbcwIfKOvNUiZXtJoG4Z/7Gek7L09K
MC9vYj/BANwDg1vfS3OYO96hGLlNnlzWCyGiBGdb46AQnrg2Q2XXEo2E7zrneYBoNA0xYFGgrc+Q
m0HJ5ylVCOKYC2oN7N/bhK25joIAGWgOwQlv4n7cm30z8ZNsYVp+r1fxOi7l5ljOd7jt1xWhxM7G
8NQ4s8f966XB6DByF/kWEIN0vFAjIXmkr/L0W+1eBgg5HHBb3cKJSzCqHNoRlIbgmiWMSq+jbnxm
+ZJ0Ir48GJDrJNv3A9RuSITkyKGDQ0bI+KADaTgg1GnFEegOwNI5NqhHuKSgVuCywRmsSyzTAIf8
QuWb3cif+xBG/fXmTHULa/CQK0ZV8stlNtnGaSCQS0EHCOxk28ZTFe8cc4jbD3E7c/FpzeSvd6Oe
fM4YjJ/BXapLsn2ybUZgFS9PkA7rHfzztaaMvf6edmqbF5cA8XXh7NXUsomTM6CAPgk8D9xj21eh
ggGiiwRDhU8gFl+uE8RU1qJJCixIVsqwu+1CkikMXCFCe18MXOXqg1nOxUNoWWHGOwSgrr3wKtwe
1OfGoXlp0G8Zl4psEec65kxtMh+xwX+BBO8tIECquvjmZMWi7svaK9XzRAdoullCA2wfMWE9QaUo
ixsy3LIqxOfc0uHuhj1g7wAOcCtjsIJeaZYEoxVMq6QZ9KNAsKcg70eYydqFFKdqVEgzkjkf1yX9
oiYNEdTXBfDVRhm6/xxa4r/YO5PtuJEty/7KWzlHLHRmAAY5Abwj6U5S7NRMsEhRQt/3+PrcJikq
g65KqrLGbxIRColydzhgdu3ec/YZ7HuZ94sdBTAFshklV24uYeXXHp8/5D4NwbD1MTtZHjhrPq3r
xkvyVW93IS2u6mrm4RjwDGeniTFQvRs9J8JCS4G2PkSpGWPZo+npXHbLMpA0ZYN0DOgTe7TVZdR3
3gaBnZMiCHLMFoN9Hh0c0+pJ1cMAfBV6pa7vjckgIjasgf/Q6IITmDCQsIR2W2PLsh+HrmnTiimD
s2Cz8Sp9nh+Uirc/aV1fane2ZnfrU19yV/uilbJ9XJ0xKjH69BI5CPYnAfCEaa3DVMVDoI/8NelR
lK2V7RaV7xHgCiydJIqucV+MInXL19ikPTuDFu2X5puXCkauwUAcmeObVid6On5h2QiS5TJd5HIf
Flomr5mak5+yH2VNWRt/i114Oh5+XjcbiL4yBPlWcistFDrRdWvyYdLbX9W3vuShNO6mqKhoVU+k
arItwfEsavE4LaKu7U0dTi18i0rXI2qUZXQE1VgIkLPetYwcuP9LrU2poFqLaTDbisdCwsPd4PNi
r2UD53GIbalWOAb2qsJMNBKDwx2N0ikCE2p19eRerU2kUZJiOhrZegS5jOwyfSkiE5imA70l3A2i
UtUfCmh1cnBSgwZwsNgjOXj7oSkS+Ulg6uOtGPWPuDeQpfQaavRuLJOi66jsgSZwlfa2KaiCJ53a
DQ0n2ifWstTF1zBdhdqk4K4W2Gp9S0SfXK2DZ5s5JVFpcs7WLoqh0Pmg1CXIMQMhilYtiEWOjXA3
uZZNaTKRqMUFqktH7ZwkSs+80xZtKa89OKtTrfcjqFB+j3QhKCkczKqQZ6kTFZjrPZnyap3MbBLf
8sBMDZLLUF7BUGmfvdZT9aoXjqw2Zo9h7GWamrLaEfjglEecGyPbYl/XqpYqa0eVLMBU1DUCtyt7
4/ugdUvmbRhmjkNOHAduT8OnYz5zbT29FVx+1vBFlUg/2j2yK9Qu9WsHs6Fhjw8ZpkxWNOnhySBS
xQo1LmQd2SlW3iUpOHTkg8aFZZlJ1TsYOi3m9vn7ShDkgFplqFFR0R8qY/7GquhlYW8yo1zc3Kcg
UrdiQhYUZ5ZiDsUnhBz0nn5+jWyYhvHE8W/oH1wYlnxi0owMvqOhGx2jBcucjVMMbyvVQ+/zCNQq
JTq7lhFQKZtydHxYHXKXY1IGa9V8als8z/FFrZeqqND7NKEEn8xFHeRd2XCzFPTrjDlIJr11QLjg
6KNwNvEfsgKSydiKg05OzOjeMo8hPeEoQ0fn/SyrrZ4DC+sEH3VEbDs+gJ9Sj0hTNKrhVZJp1W3D
0VaFGkHilIeNoW4wKxxgte8b02FWqHy6aneNxzFi0xwqwGEQuizyCx9QLqt6E4kE92MIX5XKmkgm
jtrh6pT8gv+v/rSKoVpvpxxloLsxYt6XGeA/UKVhJodIFfNWrd7tz8cj6wXfSz5MFV9q27HwFXiM
LabbozshlDgIw4G5GRQN90IeJAs1QbqzW1vdu3lpeuWpmAwcnJso71xkyvwF4IA35GctfLeDNha8
Vrm2fAS9HhPVrMD6kW68seLIFzle0j6P7ZBYxGRkQ92zuCyTbR3tyejBoISCBIjvhW6qQ2BaC05s
ujGrL6SzPcpLDp58z/1CJtKVNZmcn6TjLfO4n03kwM9jbMxclPBn5dNFOjlB2460Wz5tQhIQhcGv
E7ELgYzCYI4iZsHbEnkVv4o4syAH1DRt/mqNQ7PeonTU8cfEdcxxZIzbqNMOrqyt4UGuuUV4tzYZ
XH/YR+rQjbdLVWHtbKhDPnGrqpCP6or7I+zCiG+tL2joQhgh5xCCQTsCXd45nqjWJ666WnFXo+G4
d9E4NYmG6vzA7SSxtPAXwa5VS2XNmiwPUNDmPt6WzsytfzBcYG5fl8yljvr56JUjGd3gPLSC+B80
/ySlNAgbxk7dGOWk+kdoW3+IgLGiTeBh7HkuUbNiwecREp7WcyEnw1GPOKflqD4R8mFTvC5TGu1D
RrfDBwl5obtwhxnWhYvbBYPV4Gg29QEU/5GlE7lAxV/j2WR6ePsUqBrfpFmarOLwO36cGucMnXJ8
0aQjou4TBf8gccNOrM5bLxrVKfDnwSIPV/Wmq3WeiHriKVvQsvZAK9JLG7A3NzqHJJ27fyJPhK80
MQb11tGNsxNu53gIyUwlcdTOTk5Nc4Q/uC7cUcSKqAWr52vUsAZmXQINEJFMtzIZiK0ye8Zvr07o
y8+Vw0MOzTUsDFQm2R96XP+XnhEKKdCIyrcowI2+7RmBf0bO7uXTywzYjsdpjDUMOxuYKQ2WXozE
fN4/vOR5V402FZRzYat2ngl7znz7kksNol3vZf8iJEGf3/Oft0buaqqz+37n8PeXUl41pFhqYMRo
6qyzasYRWhe6Ey+JHar1qZK2NVIUslizdr3/Wj+6gf/s0xu0jh2ERKRvWAhzzucunU6q0YRL4mW2
ioGDzBAXJnei6O2YxxDpsMFeCHWDRQMWH7hxfxjzBjEhE2LO3XQh1GSDnFrV4UGBotbaX7OPso3U
EaF0RMeeAKBn4lfvv/3fLpVFW5jCFt4zx3HzXAE6t2Gh0IHiuU+MmffBBqWOhWyuHKHef6nf7jmL
xrDHKIhJkInK7OxboYwi8YcC6tmLXeILDyEEwOmJNAf1iJDpOv3xljsfoQATMZAa4mBmmmAikHt7
y7VNZ7kR/fvn2o7VGoWXhC7ikLCy30Wmp/as0KPep5hY+PW33HT09obVjgCE9z/7+WVmaorUliYt
Y1JhEGf59p1MZT+PkxdZX+hJcHRcyJdbvrol9KL4D1/o+VU2BbBdBrEYJ5DvWefN64zC0LWM1Pgy
lJWTnQidUEfzJOWkdkCwpKrG9z/aW9stQxPMxLSdGfKCWVXe77cfrU8h6rkEbmHSYU4Ub4HwqWWO
RXHhew3bJp+hFSTREhN5n4mYnfH9N2D/dnElN7GH4NMBzMpHP19Z7CjOjdopvzSoV6JyyyxrzbZ0
PWIv/ZGeud6ObaxKY2mjRQIM8bMproletbwK2ZfsC9PPi1OkQrV4aP0v6kEEVMtpYc1dIhmpI6bK
7TYuZjuXSE0j61mtnUmozXJchmqsNnGo8+D7FqsTtUjvDDSPDGwv6ARhLpTp1qWYN/uLhNEy1scq
09Tz3hFiw2KhtabDKUb5S/jOZA1O6QHtmNri67qteVvOzwZ9R2nPqpnBzFM9HLf/UfGZhiqWw7RI
WUn0Lpq4/m6UtnQmzXEeVZOlzGjLvn/5f7vhECbbukSXivn591t74GQRa/q6fIaHa1GzRnWvjkBE
NKgK4FfL+v2XVE/LP5dctdR6P2Y0aFVJkz0b0DAoQ9XbuROINql6jAO4sewkoPZm2rXe6bwDEsq8
gUPUbISqKNTyQr2b99/G+SfHk2dDBNYRNfMP91zSXKLSmvgu489ZRfvzMinavngkAdtsj2bXX7//
Yuc3OelNmIHpFEkwCqj/z25yaegR6apd92VscMo9idRRt0WaQqoo//C5zLNHmr8dpbbt4rxk8mYR
4/b2kY7wlOR5OZqPZdfr+IVpX/bwV2mjctIlZIndwWfgXfAvh4YN9+UsLO+Jw5ogLQQxI0X6FUce
Nb+vJyunDjVWWxXqScQJBakdT0WMVVy1tWZNtQHcXsUeXIyuVG1iYur406NmWHw4LRPsRVGkqUmR
MRZqveZAkM3NBYDYZMlhM6Jo/Ol5+X+d83MNPI5wqLWZQOIYP78GAu+OV8hhfhyKVO3MYcWoIsPg
WHFyfv+rtc7uZ/WdsnhJBBcgLVhHz+7nqcL4XBt2+ODa1Y/XAi4orzOolWprYqlnCfo5e4cUrU6C
5VyqLumvX7UjqJaEAwKR7Z+E7ah+JmfBmpXOxDtER0HL0kFbjx2PKiK+pC6yab9YQHCsbYYzl0Pj
yqI27n4N/pgWqSGSlqcmz87q6iu/N1aF+sJXkfIq2o/pOCo09cKjQQe032giVt8kPLWIH0Zwpr73
vk1UY/nXCI0nkns3ZebBvheGdDmIBzaKiRbI+5fUffu4KBQHk3wF6MbiQobG+dfX8AlGV6/Dr/lo
OZ/SthTmzmQ8epCZW9v0+ON+F9mzd7W4SR5CjAvLQ2Fm+RMifsTqJQRlhqaoOD1tQWOJvq55DDm/
drf53MFjJozYPCRe+qFg1PZ1rO0Olm+rxUvALEfejCKsrmI96U7sSDF0bNBV2QYSmfVxZY48XoYt
CG2/zj3d3tA1zJ7g8fccDnIwaqTSt7c2u1K2s3PNgmDajpu+XpotM/H8ifxR+zInUZHhT93TzquI
r0lRbedfUE2Iq2WOUN4Pa6NjK65b58Fkf36u48oQftjKmBZGpFDQmHEeJscanhLLAoHo6ppdbjT6
dp9ROXavpHS299LuOsoimP3pPKRQpeyFBBTmRTP2XC/R/EFBE3M4ftjLRxo2cZp+HFyJ+d4Nh2zT
T231AAGUlphtaDHdPs0OiOH6YPeL/mIufffFQDH+GA9iCOJZFleZg7fPTpbk6v074u1izQ3BWJnF
TFAq2KBazuU0Fe0fpxFR+cr3Nd96ZggcBsEoZhfZ6vLx/Rd7+0D/fDEHoZza5qnhziuScLUp7Vqv
fJW6U6ARmvUHo6S/6hdFdhpta+D8F1XFB0aEMGvef+3f7vwfHxOtDiMbFvHz88ggOnxOdlu8NnCi
aqiqdTbvCstA+Pb+C/34m/57G/7xKW3TRJ+jUBWWd36IxCucmaBp41cDmfBIzcN2AfmxMJINGTKk
pJlFeJeQ0Ab0KhdkTUHFT/AcJEKSfdQj+0KsJ29a2XqXpdY4j+y3QProK/ZPRUHxgoO4qGE7GiCh
x7T8XgyWeyR/y/kwmov50Us5p0LGNvQ6iLLoxipQyKLtLyTdm4xZHCYgGmutt7ymKiUlbYZ2Z0RC
f9bn3oK/4Fl/qIXORHhcElUGUAZxXSz26POSwNCcbrbdZX21B3Xx48SKoeil+WFe5+cSxv9njK7z
ZjAjhh7EwsoD9CBRbt7/ZoTaoN98M44Sa2K4M3EKso2fbSjE1ML/p2H8Gg0MDmingYGcXeF4G3K+
VoKMsfYenKKfB4Lh64JpT1UcKvpWJ7gZRDDlTqTdrEZkH6x1oXHWht6XAnG3CNpMOyVL6RwXa9nj
wbYe6IHmN5XGl+ZLBmNLsPYzY5cU9kLg1J5zR9k4wlu3k++LTJNri/j4fUan+JBEVX1TiD7vN1XY
DS8LmHBCQczsg1bC7vblbCh2Wz8NvgWO62HKvRjXR6PzAeLZQErdR4wAnLQBre6wJ97bcJOOSbzY
H7G54DNh6EDA+fsXV12782sL5YkaVHKadc4xQwMtYb53J3xtEltcw85NnzD0LgtsvlK/NibOEn94
xTPcFXeVwzEL1S16JAsJ3nlgCzL5vAVHmn4DFGdf0jbTCvDei3ZFozLdMYiAu2eJqH2tLR38fzT3
xwS/9Adt9KzdHz7977cWpSbL5w9zqjTOxYDtVIjOjYj6iGYGDJzbq/BL1a6QBhuYNH6jmxkdjqLC
fgHvIAbpGktxiJHDbuiTeF7AwLOIN20lnU9Jj9id1i8t9FLr4lMmk+6ANWa+lkMcXUTCiWy/gvg0
+d1iYNKIar0Y/NYAceQWq6j3Gpdll2a9doIYNvIHJkcDIBIvt8s8sZ2lIql3cBCBCVRGkh2hojIC
1yx4vVBD8hJJyZQyw2Xo+SRGjqbUIt19j1Xogqg3wCetg1yGO5FxUSDp+t1iuisZuaKoI8FpZq7U
4wCKAH469WmqyVjwq6SW6GpdszIuEKdM7V6Hnv4REX/yacCCRNyvmdDqgab7p8bX7+sPd4qHaA7p
GilYv/X1LJNJKOah7BvoNN3Bde+lL6g8FqaGfGWcqZzXtRvCC1lqL8tIWBnq0bEu/j9uWFdJkNn6
CJ2nN/D2AIFSqiu61cm/hYVchs2PLwSiU5wfk1z2O30FU9DAMd0tEhZJDaHnc+wCMOE+WY2H9+/Y
swbdj6dHeaixAAsTreW5YnctBjDsc5Z+ixxd3hPV2N2ZuaZtHBq7V+yLw/WQg+Ws7bK4wCsMwZmA
LVrseT/fKlAaguRyGo+JNljfUc43wnebJLv/w7v8rWRwsF1agkcczTSHyrNLNhbhUniNPXyj691E
j1QWogvoJC7+0JEMacoxY6bUrdIF4yqq7/GqO8TcEec37S2n6p6El0dH3ZmyRxMMExMSdoFdm7Y5
l5sUh8AmGePX/fZvn8XDUn/7z/94fi0wYUKubZOv/T9dE4hpWRf/Z5/F3z/zr+r7v8BZDcXLW9ji
z5//mxFAuhdqPCz9roRECmL3b9eF5jh/geYAAcgpXLEWVSDSL9uF5ZIJpnToHk0B5ajmt/6GLbp/
YXenJUZgGP5Wk9/6mzZ5+3MnA1T5Px6EVYrTPzY8tO5oPnUbmR2cRYuT6lk3YDHKjHV81g+o04Ii
+p5TG5BfdJEqrBNhAUWiX3ZE23nh8MnIND+1uj/UM97bh+PnW7AUdI62j7LBnz0cleBA4cJuPlSY
va5D+9MCpK0bs21Z7KLMpL7ssah5dVTS9wlPdR3heDLtcjuZn+0RrU28oWyMTrqCu1cuJGNkSg54
mFjSKRKjkpFugLEog9tXMmj4Q7E/AIyHxZrif1b/ueCZ5Fzy2K1M+IrO77TtIjzieHriN6JMHht9
LBd/1ftqIGShs6yNnoEbs8qnxUX/xz1xmMniLLBK2ibU+gGCV5KuHIU4O7rAhRNXOwlBNgVii27b
ZUciCz/kcTlsQWD7pkbOpfQ+G5YGbcB5XlGpkRBgAAezApt0e/wCvk4MzlDlmxF+K+Sfu1kLH9Jm
arfAsrZjX38hWlHfJ/lwG3XOVWqUL2s0BH0KT1dO+Z5RI4zjvseBVpZfi9nW9xlyYn/Rp6+lHW0i
OXTHEnqST/x0UMuOF1t3SWbdREUa/TzI/Htx+cPiwpxC2av+59Xl+ttLe+7j+vVDv5YUT/zFGcTG
ruhhLxA4cf7PkmLoNgmEMDdVo+lHItrfKwphaTruFkSp2Hboo6uN9NeKwtHubMV4bwWhtHm7hOh0
07DLcEZkIZOYWuy39YCaX+tLGI9Hq1i9MT6tGTgDmSG8atKlPAIKoq9QkDAFPzkeNJf4wSSbHgR2
k4tu7cP7vHDDFTesZZ5aI5U3TIDlcU4BPdIy0epASZdGxEAtQS1rMnyyu6K4bl2nSTej6Q07Dyf5
tTm7BP7glwSGOK7mFl862ZuLsK77qBABkotmp49ucZtlennbT9Nw5yHch22+RNkTqVzTpa21+JTm
VpafAHGFT4MeawSeu5V3l8ducdeaPcKSbL1AsjDvmU5Ft7IR651u5O3dHFnhzvJ4+2vYz1ttsvrL
rCbEeJ6sLBgRiGzt2CaMKiEk+2FI0vnZcYrmkHRVyJqBGei2aerulvNe/LEpsgGhRpVyrI5G8tBj
x7h3RBMj0pfpdkTmG/maXs7HNprMo9t0j9g4esB5VCBwFkbLDHSrXh/KfoB8Zcwv2Ty3pLAwjzwg
RkiOTVKmuORq0X1JynUiPYPv8DHP0uLancZ4R97jetkWTHv9eEEhmY+uE6RlBmMkDbXk1vS69KDl
0Q2g9hR95JwRvgYzrwPHcNCnajrOrG3HEqYjSUAFSyOaheWe1v6wy5BQBD2ZQDcuCROHBbLuyWn0
6WgDtDq4uEWemWhVl2Sl9PecyXM86JnGfmDWBPLgiXcvitoeTogc9F2Dwg0BVF5+AFpl3SMr7D9D
cs2/L2anP6CUTQDvzeUNoi3t2krQSgu953AS1UvQzKV3y6yh+MQRdNwZbl1uyt7UtxMmhP2kC438
t3Z+baauuzH6ujqmqPwQZ48qoJgbJ6KD6HlfyQ4b2qBpATNA1rRKWuZEbmxtWcYfyg51ty+h120X
sq/9Qq+g1He0DSmun0dzdK9KBEZ74CD1tY2QKRjwhQeaudIz68h9ng2aCttR89JjTZ/9kEe1e9BH
mX9Lyyi91WuPVPQsWm8ykdbQGoGgfiVmAeZAGHWco5tJkufEoGW4KrE3sH7FBPFmgD6ArCFm1XI6
xJAPPrYzeAbpZTqavG44YR7geA2KefzQatH6uclrEwZgXs9XteDA7tmZuHEb22/dOtqPo1PecoTq
74CKmttMWD3F7biCIjeM0lE29wF3Rk9InOx6ittuKjXGbK4ML8iOCC8oDNoLQeJ3TgVukLUQzg0d
DMkM+4llpL5dynw9oLBBejcUYktrQz85sP+m/TDWdeA0ibttySK8KaIiumlj29zIRlpfcrLNM59n
e/7YQc+K6JUMyz0qFCsKatgS2zU1YiioYXE5rCOHxkJzpjAYtUaMu7Je9Js0ZDRGuk6ZFdcasM8n
xyiJaXck5Akq7yZkJUnqdbMW1WuOhcf1B1nMJ2t1ioWvRiQ405dRe4rGjqTgFF9UCAg+mjdWYkAG
XZFpm7t5blYSr9x6/mDmuvGx7cJyQGIOcq3Z5bIS+nyiL+jOZLlbEZmq5o4zVVR4QTQt0o3w2nOW
uA+hBi7yMXKKur/rLcDVhMMVPO2Xa22SKBj0Lnls9YbCKZvu23SO3K92lCHECWIn1yfxWHBybJyt
WxOYstOGoU9fF4xiRrZn9N+2GJDZ3P5dB/ypDrCkai69UwdUbR//a/OcnYeq/vzBv2sB+ZeQqgpg
UcSLS0fwbS2ArxqoNBM//vXfxwubnGJqBMYPHJmp//8Zqir+4syBbZIf45Sv49P+XxQH9CfeFAdY
Vpjmkp9sOhhr0QadN8vpYtbMExzzuFLJROs+wXDRh5vK1P1i6U7Iw7xtXXAc90dXpKAJbWv9rJkQ
XgIzMQ7dWGvHkEJmuzQaxwEUaAES2e5UReUhbq3hEt2os2EeLK+qodTum7LDGlRG2lWfAOyr7ULe
jzxUjymU05Lg+VTbG3VT+UWXNoHERg5od8Us0vCMkAAWWujLeD5534TgieiAquwkGX1fMkuk59uE
H6a1uZm7asNAVydWqjYOTceoi+FfFji5vGTWx1QVGS2J5a+DMCbMQuSAA1hPg9Yql1PYRrAfe30z
j/pXZZX2m5xyP0xTY7fo67pnsYSgEJl7rRTlR49ezhYPV4JSwd7mc3vTZotN4njWP1OSWLvcKdyg
FnV7sArJ6xcGiY1QA9FIg0aDOZPcgeqpNpAi1wNB9qCa0dj7qPfGQ9SnN+3i6UFDgNuWhcLwByaZ
vq3XaLN1YW3wJwh/YsFBzJp3l1ninGLDC1H2FneKsLHtQ2fvFcOhttUkFeKlv3hVG9gAuggY0fca
QWKIt5cn0Y9LMPbqQ9QZCu7BCjf5MoDNFJrc5u7wAlN+QyBicVmXRnJV42QPLBOI6erstCSvd2Jt
SgTuJL4n6EX8RsiDRzpjD/AlcNVRMVlD7Wmxksq39EGg2aw5cA1Eppg22WDISpcLsyKvjWA1yjjD
HTeOMzW7bjbEjuUR++TMzA77g8TsFu3nQdogNZQFyUi/1KCrrhriZpYyBJ4trGYzdO3EFCbax9ZA
Rw5z3SZnS8nS5gHP/hMu0WNqchSMRmnvtDLRt4a+xnunLp6ZtX5Jm97eo+9ug4l23VaHL33ZoFWy
0SMis/TEhnsCUfDsy4lbwm2jD16VVrtBiUBNoniDjNHH6NK/tDtsHEYvLhpE4V8WezWCrO2uZi17
WRcbNGjs1ts0SZeD4iMH60rEjYYtI6AQbDYOzJtDjGuGInWZA2JXG/TW7Se02AU5o3O4kRQyNEKX
Zk/L0d5WjIx2WPnwZFjpY2vK6IQhp9hZ7kvkdfolrM0mYNCtPeAUI9ZzkLG9cfIkuSvg/AZlJ3U/
zeJlXyde+0Ali+zY8bI7Bqj2puvWE32bfOem2bQ1wxiEaTYUG7x+zrbEyu33pqbfJrIlUZISY2t0
bqwiZk3CTqyUrnIqLwyQJIQsu+PBNKOLXozmVafpw0YjNOBxEBZXEZTvxrRpnwGuAbkyFY2vi4p8
YpHqj4Q4636vGaiYx2bd9XHtBN6wGlBGs/I+I33xFhu5fmn06sjsSRknwaRl8ZZuBpSznpRkwo+y
rbV0wI5kOxwdrWTkLLVjWTEpIwXoWrOzl2SEnZ2WKhmqoToZ3JHu5cr1rNdOHMA8cESx9O9zGLub
earEpTreAOXq7wmbuRjKUV66q0KDtuION1yDys+C3erN0CqmXG5sm2Rds/G+DnDek2W+DY3hNh/w
tehpQg5Fon0r7HXZ5e161fbOMZn48x0MrQkLsV/aZUnirNYGRdvV4FPHDpqSBd/GTp6bKiJsy13v
u8pk5IQIyc8zR/Mnd8CMqLvL1kwqc9OWDbdUJNvTYjq7oTCfPdTJvpukFj7jTtyHiDqDwvG2jD18
RDnpfrabbyMjBexPS0iUVGrt9dwwLkOAHrs0N8dttsAZBmNVbyavcA8xuVRVbn6RsjummA0uOjE/
uVMHR5382yBfLHlBvGX54Hnjx5wB/aaunW8ynqZgxHoTYDd5wJl05dg96DfXvEyYdVK1Vvkpd1Bp
6u1tDtiDcX7sBmHTfMcWoG8SMuh9sQ7V3qYruwmpX7fN1OdH/CtE6GDS9oUVerCMiPy14i/e4noP
i70coOQZV6tUwDlzaXa9m4+ouXnFcl0fmtFObnGyEKXIJkSXB77ahGsnM6J81w5C+Hoh7uuMSYsE
gHi1NN1F1FKRjqMFaq8nBAoFhL6JUX1/zrP50xQOw8FZCIMbTJLNojzeDUze9ghNtB3xnyJwitG7
YWBzqwMW8RvbVm+czFiMxEEvTNzv4R2W7Go7yWQ3Nwn+cWnnF0asfUTSk/qNNr9aCbl24FSGCxfj
F2tNgggeMvyB9Te5JItw2kcaq9zkaoq4xAHFzU1rn6yWQDI/WeQ71VYw27Wxj5z048Qo+WLV3Ad0
BGCOGpUQG323tNpBkpCHOw1Xlg/RxdjhJXa3hl3ol2RnmIS3spOvrKo7hs/VhpQ4jmQvoJXK/tFO
8Jpn3LNa45WHmUxLG99qzxl/eupDTO88io3sUua33H2FS0pk6xH4C4Y9Uw8ZgXCisw4NNg68b04t
zfDRGqYSwLu/LC3Dsy1yXlZvjNxrPTEJKs1Q3Fl24cj2M/6tci0v0ex1jheklcupzAd7l2gxFL66
Xdv233Dfbz/Clv5QXnPKst6rrmElvTwXZ7Ak9SO/6mrX/gsqC8MtJIY0HH705n+hfV0X6i+zWqVC
lwb/pF/9d9setK/uMGlHfm/DY/bQ3v3dttf/Mk0lbKSbLYUidvyv6uo3VfWPxh9uMd4FcgRq9HMK
KuuCaXeWrR08JDfsD+myHga4OA//uCa/pgX/IqP+tkqQ9fznf7yV1fx8GRQuDso1dPa/SaxXo2uX
cR21Q7faBsaugjDjQXdvigmX/B/GipxG3g4ihFJawiSF+I4+UfBd/BMIwneRdh4he4fFIPlQl+14
Ap5jXdorih4Q7H8cvDPj+O0lkawzmENM4aIm1xWS6h9sV0wagu5RGx4SHKzQ1ZqqP1YtbiefKXYl
ApcJ6xPYFcvc6UM0qpTWPF32sprMco/caAjEyKrmE2IJEi7F9oSJHnXW4rX6Szkn7bHB2b1vQuCI
0wqqjnmpib98Li+X1ig+5Blullxr+0ejl+WlN7Z4oyGAX4dLn1zbEWJl2n9lDIFCp38adcu2Id70
g6nZKw5QXFExWqAnyHAnnYDy7eTkxCvUuX5YTbBQNhIiN4hTa/hgdkPxfbXW6gYPTvpo6knKlhbm
O1qKRNQlBfmbVTkd9CqEd7JiLXNHHWQjjvutEc81vlWru3KMvrrGQz3Rls2sZ51Z0SGnMN0QXU4i
PWgdGpmzF8rA1czqK3214ihXZSGv1njw6akS7dG69g5/Tfs5yTRvyhATtQ62CWeZkDR/9pDaL90x
LmuaisisymAKuc/JJ6x0BkFWUb5AtKo/A+VyP6oMxTsv0r2Y7JnOe03djq3I8FpyMwpzgQKmpclM
m8TVwWIiOnnJ4twVVLx2fqPT0awDaUcA2odpuFqY3j+xVVBSh0m7Mc2cey+FbMBcKBU3iWXcxTMB
zoA7l7sYiOm2w4r3uXBo51Wz3u/ckWQyEkJl8doWRbyPy/jr0tLBjSw4fRFZnjWWQtyr246LAyg1
PzVQzj4CgNI+WKReHHXojYyeZiNjhD/q2ibDuq37WqXd25LNkIIUmf9U4hlckDvoaTS8QmjqXzJj
SfPtGq2y3Gp94l1yCTrU6vJr0+e4ryZcj0C2/NnJX3VrnnwsWLhZe+qKLHokaznhJq3zvVa7ME20
Yg66eSqDCml44IWJxALaX6UatDF/7qMlwCmTPgsXGOiqOV8wIxL1VMllO+NiuQun3DxKIi3EPE0G
/nrH5tbm6ZnxDJ6sDPpvaozf5oKMW9Fq/Skzy/WlnysAbbQcX+o5y24ICjE32dr3d43oYUb07l3T
eMl2EOsnbWita3Oly2gua3cNlHbdTp6c7svSo2NmeONuKewP5QSh1gorlJwZLW1mCdGIu62UCXm9
4TggW5TojNnqF1cFa65dOm6yqMjElkyEJSN7t5Hr0Z3yZb5Aygm0IOBEr+t+qNEPfcq6SXXhZ3Po
pogLUXEaXJD6P9ht6kZM2Yx0hnb64CwY7DyjcyIFdSQDUgvhePmi0aXP5IKw1Wlc0cvMmh25O2fJ
THFRULlSXebIU3cdfj66rBEmWMah0xrdjZngT1o1SdXXsmmH2K+KtpxuI6nBKvFr2XTxlRdqY5X4
XTiJz2YNzyP19TIkeRK/gmc+pcOkiV0zo0t/dZCl4uLo4167pKyOhvYejXYJoJJQxuwzrM7s3hsL
fNy60j9VhQO2GPzGkxMuHAxCyyReF0eldSnmkbzmaR1RdQncjHtBoM3lZIbN0ZhncTALDeHKnC2k
QTMsMh4w6xMv2zXqfzuhDO+x7E9fpVnCMS1RVe7sDDJnlc+87oCabpMNuX1Rd3p5maBR3fbFsJJn
2oSobbBtVFeUruSMODh9d4akSZO3SbkVxLtz5NRVcPhCSrYWInmb/4u9M2lu4+i69F/p6H0pKmuu
RW8KAwECBAkSokRvMmhTqnme69f3k5D8WpIHfW/31uEIW7ZFFVBD1s17z3lOw69qkpWeFgbcSYAz
pK/WwzDm58m0qk8W+ssjHyQOt6lhAUeY/XxZ9yS/YoOBRLInlMW/z+zYeYXmxuczs0GQauXmZ0AU
Kq0QFRPp6Dg9MEJqXf6ZLIrs2dS76YE5i7OsoTKVT2EeoSVsKSMEiwdmW57b7MuI/d8m60+qQGQV
yv7w903WD3OJCCT8Vv3x9We+1oFfBqq0Lx3CMkGKK2Pj1zpQCKFmreQeoBSkyUl18XtUpkp4oDLz
HLCZDmINKsT/zFoRdviA73jdUCqiB/n/KAOV6InaxfRJDbAszEqqwPmmgJE9gbq2rMdTn/MiyNZR
9us3Z+MvCsDvvSL2nw6girZvDtBMoDariQN4iQPzLA96/zUeTrG/ivK3fz7U1ePyh/SSY1FJ2yaF
tclcm5Hyn5QorchsmkV3iZ3NelIFuWbghpsDhLBpbf8CeIdZRVSCHdEhb1yHGWVmz4w2dFOvw/yt
rEvPDcGqW5Huu4RmhfrN7BX9p9ijVZIf+8ZqNeugO/T+MkAKsrmQVo7329JKeZnJUUuM2L5tu0Q8
JHVJgt6cEKfXrQysxoFnNkBvDd7ycMTHwSQ02ObBj9Kn2jfCoaGWKAaX8qn0wDrHlHoQnnvjthFV
/B5GWn/IZN27itucjdt8iDMzP7idnayZ6S4nT6T2+AvkaydItZAYGK+DTsJuwzLvLeBaywFaQqQ9
4QOJ0b7gtZc+s3HoxN0kCZFq4vbmekX+XTV+tmqoQcU3N68K8f0azqtSgv/P//7w2kasGjAxvls4
vvzY7wuHQPiFcZjNHiIuPEw8Wr8vHITs4jr6XQ32+6KhZjI8xsrqiFORJ+GPRcN+xwMhTAYzCJPZ
lP5Xe8fvdz1gfNnNoUFkS4uvzfiTfFMhpMB89M45Hyg/V0U89WdolZ0TgMxrf/nmxPzFAvK9tut6
MPwDKEMABTuI35R25JsFJLQnC+BmZ50jba5eCqs0aOcM/nMadw14JEOvXkIiUV/9AULd/8OhWWR1
D80L07Ef1i44roJkctwFi09kSuFDmLzinKaN2zviYnoT2oYWR7S5auXCtu2fD//9flZ9czRoWJRo
I+DEhxvy/Tc3TCBO0NDNc4YyM2ZHNCBT1rt+qWgtqsNNEOd/EiNiqB3rH2vo14Nyq1j0JehN/Dht
K6pC9mHlG2cyqoxLgd58b+QOeVQo0Mm3wk90tGKTg/eib9qbqOu7N6fCO5tpDuehxqZ3U7lhMu1a
rSHyblkW6xUFBiWVtIHHHIZKkhIcLyV5im0l6EBOWWGaX8Rhf6tK/P618+VrOLxRbcewmUX+6D3x
QOX0Ey23s+g17hVV8rF+4nTx2BxdgDsoBhSc+H++Yj+OKtUVI8XJh87Og8E/v79iDjVoMtmNOLM9
EZdCIxWlhoLxWU+m+jyLZXq06U2eKAkQb8wRKP9/Pv6fH0xlAUU0TsnAffPjszL4fpECCRRnh+C+
R0hI1cvsk20cDrX4id/0B9PB9QybAkE4WnIOiGzg++8qZxd+mt6Ls0V+0CN5DdjRgFGi6yfdsH2b
UgttCi9Knk6dkM3KHXlYtMSdHhja/Ixu/VdfHO88q6VwbbDCPywSBq9foHSSpAeg9fXKcmVWHo0u
Z8cKDfRnWTt/9ZCo5C2eS/7CyGV9/91Rg+qxZg7GuWnBghRQXpmegVM59K6Os7VJrD0NWrYSpHhm
sMkIfqY7PoWrORFIVgRt8IPmDNNjWNsTAZcM0o9dOvgbujjTQxQN4PuLOeEpsz2wIbd+pPfZ9p/v
lR9079cLiAUS7rrgVYGg74dqCRS67L3ZF2cpE5Rti9s0u+t9w+CpemmaXFtl3si6B8+JNBi2SmG8
kFDazn69gwrKqCZOLUJilnHJmrWQevvmNfr0+M+f8y9WQZeYIY/OBB/2T0UdyNx+cKQlzvbickKu
p1ngdn8RuhSXGnDTT+5s48ebCS0EdzXvXJ3G3p+BuQAvjERP5/Y8VmZ5sLvcfoWjpf5mEo7S0/54
aEyndQIZSyg9WM+iIhihcj3FfaosdQCJ30w69Q8J4Nobnf3bS2yyFbTUPXE9RS1vDYdQ5MhHpuyW
h5k87aNGWbZHfKfQNn35E3/jFxfQtys7L2uaxi5dZwz5GNF+uGkXL/VROM3hmYkUQTvVvIDWdLXk
vjbxy++KIRpGoreHpFsbNjkSqxjTQYRwMKTVl/Fn66t5qnyIYczOyB1xt8MCPmcXOW0vVoUIZ0Xy
seWy1s3Fp10Wjdr7SsOPvcahDGRxhPFgrzDmEvqOqIQnI2nHfsMrADtommRlYCGfO/dFFx28Nk+O
hJKUJ2wwbr32yoYw5Apjxkcxu+m9KOfsNz1txRrRYhMF9HEWAJjTEL3Ndjk7DPQjpPsd7+9bPMC5
yQw+qR5quoD5aop8pesuaZDYGDggZ7muVj33RZaMa1O67pPvw4oI6gTddtAYQz0EOf4pCGaOP1Om
d4b3K6SMhil03nZgiUA5I/Pse6vZGzXz0L3Efnk0wl6lyw/yFiWN/zSPg+hXLi2fhv09Al2Udsoz
V7dGGpEwHFbVgxvmWUO8qRXJNfgT/zmMel67KfeIO4OPgQc5+xvswmR/UhqAlxAdyZT0mu3XFj1d
vLrGzFMCshAPUGof23jmx2YXBSyjR0BqHpZvK5hEkrlHjy5Dz5tZRCgXCSbpdbe6RXWRzChWyvoI
e9ITaGbAVqKIjydvT4xSdBpSvwNPAikvCI2IvVScNGvfzBUB0Gq2jc+Yqy5JmdP15SOT9RjAhDet
0bcYv85dWa7sWMXW4rLdGotZ/pL7Lcxuk+Zn7VTRGzfK9CnsZdKBmA2LtQ7LCc6c7IqbJqxsVCju
sOLGusYKyWKaPMKOtDnwyu7NoikGbiAOq4tme3F6GICbptZtUWR+fnEHWeo+N0A2l+6aYHAPzwuC
T9dj+oblHwIrOE4Cf4BXplasCdzwMxz/fO2lwq8+atGAHjAHNF6Qp0lYsLfVdFX8LPb0WKb0QrEw
gxLSQyAjrPaa9Vp7mKg3jAKrmcwFmb2ftJYrNsuOlwJBNP1qcH3WFTrc8U0M/JPpuIenYmuh6TNX
4BerF79pubIO2TwZkxoIbbrewCQFdlkh8mm59OnAkh1b4bl3vaVbLbNjvUp7ZLYe66S6dpnHapSP
9uskF/95NIz2rV0ia0+iFwuPxTrkWrm/yZuoJjGIJ9RbgVPjj59rWyVCmTbtK0Dwz70zeOt0zstD
WqTGpdZt9ZvKzD923cD6zHImZZBZfh6uhej4L2Aq+U7kRouTobP1DBYXbPDWA2v7qoAmGAEzk9/R
RCI59cgi/RUjMO8Y1rl/9N1yeoRazkv9S+qPWiOp4byjJOjpgLez2UmgK2+1r06l3zBlatueX14/
bd73NAfN2iLckLLTCHo7nh/qay2SZo7V3Bd5CpMkJMq4X7gig0VlOBujuAxi8TeGQau+j9lumMAO
LokkJREFqgq6U9UjG3T7VZB9hv6K51flVAztGyTg6TFRvyLAEIlBmFB96ulgvwK+8DeY4tq3KuNt
e00fTlJCqFeQh+bHa6FAUAXpvjSVnVcE6d4ROSuXtubDTIaXvFlmhiwmhu2zL+l5nvSIRxoZqX5q
gV6XR24jrp2hPm1R1rx42rLZtZJPpCc6RXhZwq+1RVq9yD7jbU6zGJi3RJr26rQLJnDweOAW6rbh
kw/8DHTOciSJttaaIoeqRoHTq1IlXZLu7cvmx1Slz5z4Kgvbnq1sZWlpndDyd3rrbrRn7wgxyXpF
9NFkN7x2+ICVQe594AGlTRDvCflrpsGED4rrIyQIqpu2A7xlyiDePN26Gc+eNQId8FuuUSVpq3b8
qx8qTB7ULNY29MrmPo3oMYtZUBiQNLp3uNKnojXdPV+nPJiD5qBf6RGlMC7n0yLtVixy3riduj3t
IhMnPUTPTLyTSm5JBspVC8Bhf1eNoRbt8kiyBxQOo5eAeEACnomz5MNImxu4s1LOWSc8/5moefeS
pETobbpaj28wY3GPZBHxdFE+ck6nKuf7XxeBNDOnR3pQnJUsjf2jg+NgX/s8YZWjDp+PxHon6qnH
x8vcSpD2B5uq2VHu17tamlzV2IDpkfEi5zyMXCHUxPIZ2sREKjhp2I0HmjclATxHTrNozjq0eeKb
BucgjAnuRAsDa3sYY5YAW1Cjb0SDsIKatg7bB3+SZHx7pbpASW2xNBmlrHd5I/znuFsmP+jYjrab
xQH8EJBzTA1kwLp7ogdnvyLNpkmvMclb+QnbEGvyxGXEiYEI2ZjFELDOE0czx3714oQVD3otRggM
6hvyJqJGbh1WICjN8c11w7uMWkVau8kjSjLiBf13ysCALe2lr/mP+IG5LAj5p4cFiB3sYHV3Xl+b
88IAcV3BzMB4G/HdsQj7x8Ig2i/pDSLy+p6djDprpFZNPslyIlvWjfo4kcO3SOGfvFY9AwkQ5CR4
ZmnBY7XMiBBdcyEavs0Eqpc2ZDmKUx4uw/JYHaO2sc0g4pbvucHl9Ahp3DE34+DWuzmmA7ix/T6z
H6dmLJpVMRKuAOpJt1/JweKu4XcT9w6F9JJlvbVP61IrN3j7xuw2R8OfbwiqNOon2skjt4gkkHCF
f0ScYiacrH2TgV61DIWCiFdDqLbkVsd+Jcq5J64n4MtapDbuQ2KwLqiFtQld3jjXe1eCYmZI1SEO
ndx4/pXIW3m+3p+W0cubhEbAzVCAYb6DnM8tAjeVG8pOh1swPsiXvtwQOVKYzxUCrwEZ2NDsNAjR
m2yuiIPH2He53hUOLtwlSA0pTnRCeZDrQpzAFHMSUiaM5cohHxiovE2g6mpeUvDetUETAqqsivpW
X0gbc+6+uLGzVWON/L+ZQqhZs/cUJ2HxFbjlxIX8xnJciwyo48oFSvCI+Ng0t0DNp4c+KVnt0dXf
451czuzUual1gj7wwY08KtcV0Eq7NIdK4HKyO6mp1zcmuTAw3ZHHRr2AkLCG5jyuKlx1eL7DZpBb
hJ+EfBfEBUNm6jseM7OeOS5GkumR8I9GBRkASvKnmcLPvmJaZkbPsGKtTlsnVgMqraEWWp4G4cXT
ruuHIroXbaKX+4Jl9NToSkFnex1HCOOSu10Xcmkund1ThIREuT/rI3yFoprU93X98cHqDfep96b8
3jBttMRSW6V+0u5s2PiB2/DsjGmYfA7Ntgxco5aB6bClXg2lyQOsJtlJXPFGmuMRZwAtT19pSZzn
NCEZ3Y7h+QSlPS7TjQbMZKuTZjEEITKJIMKDuI+rKrkzLXi7K96a+Z6d/bQrREXqa1ZVxZ0sCVn1
p4x6wTEmFkOKTBk0rdF5m2lqO/22Vov/bSJDGpHgPaipeiyXawOB1x5IN10Yejb9qs7kqD2B9uby
NHnF32tfcJJMe5ke6ACCpjFHFpxGLf71QI0DP2B6rElpeUQgS4U31YBxa+aD141ymrHKjuR1qKMq
lITe8PHk4tJsMkrqA0uOfNLp+jKREev2Ao8+/VRSY/J28StcHOodLrREPktPcgddN4ahHhYV9J4E
Tn3TsaaVSN/lgX5ag5Cz9I+xH1r7sfLFKZxsHyJ8174Zy+ytHebie/ZgXFdlSkO0oOQkfR6yWi1O
bFwGjry6rpukCrE4MnQy0cQXPBOZqjcr6XvHvGHMQTok7asRHd1LmjHrJ0OHUq3mEeoybp5Yaumt
VtpbJ1Qr87KUvIHY20U7w47iT9bg6O0BJD9PXKehprPT2j9qXyqMmupB482cp5DN966LS33Phm3q
di37m8Dr++am7GDGZyBUPPYqHYGu6SIuhL/RsrMJSFnR5+GUuInGa0NKg51E7vBicYbZuUR0rNdL
TWR4ZU88D0uoloNryWzr+WdAC1NAlyzXGYTnaP6cuTOYmPfRJWqAeU0R8/rImuP3FQLpNdQGn9WZ
3c6y5YWIPtt1QAKDBa+0B+gs5bSinC68jdmY084Ibe23vjLttwSV76eMqvIzc+eWcnvMwoC6yjgI
Bs9H8AflTUZz5SN8NachglVmSCZrZNSbuiTB0zan+IR7CuRs4sQfMOKET4DJh2nV5xkT7NZWYyl7
PvlmJd9H8Mh/K+uZP8kuYEpRKRd++LCAToe7q4cjMsNOZ3rf+IPzcu3O/Dvh+dmEx3IMOlV/Pxd+
371G3812vvzA77MdnVkNzSWPPjHGefpbf8x2BAZcxaGgb423RVdjn98HPAZTYfrytBz/M9kxXWXE
ofmiOp9qGmz/N+PgH7hofCJWUFP1yx1kdDjDf+hgs2uPSWTy5ju/WLQlXdEAnOdt7tCJyHOLAnsi
f2RFGVEdWttq38Q8U5YRO/twXUmo2Imirko2m4pUnMeCamee7Qc8Lq0ONBkZhsTtbo46zr4dUcys
k4+aO0N8XpGF4fmwvuTk5xUrF4oaJxwHHJF6JrV7PwfGf1uCrGhpQglRep9N0hPifjcil5yGfeiS
BSX30p1AMdPwrIcn1jHdetJAnWLntSLD2oTJiEqdc8lQlIQVVOUc9kqOcRDIGGEdhEjZu0eMq+x2
xgwpnZJi1dQCJqRoR16K3IguS1eaxG0L5CFLr/06su9gEmw19YoMjeQ8lTahLE29Z9UPt0yc+1ca
9jFvLgyTtE0bdvM62nW/ZJSLKWACGF/cJiGCZRRwSzpOBO6yT6gPhrvkhVDq/ukUwZ3X9ij4R9YA
RrzzkzYLkkTWpCck4VZaFRTiGyOGMU08tA55YAcWUgr8frmiBU6PTqbHzV2F96jgKuQQqvJh/++K
8D/SC/Ow8qj+/YqwL8fXb1cExd/iB76uCL7+TmA4YqrwRQjyddLrO+8cRJZXWo8aLqkh4O+rgfnO
ZvVA/AZEByWRWkP+0IgAU/bRzzlX9gc/9d9Y8Mzv51o2+hNwzrgG0VXoAN3MH5S1c05vp3Bj71Yn
OeugJdg4xtQAHwGZ8C0vhmU/ys5y8a6p4CKyVdKTaebNC1mAsCuk22oPpE8ioYyqeXiwzE4+p4sh
sULF0/Rb1MVJSDfDrOUKx6qp4apewm0vpL+RU+Y+ExU8nvumMmkSzWRp3kaJl70Nw2wfh7r3nqOp
TMjwoR+bBx1L5LwuSgAXnTnuI9+K94M9ZJskMmvMwBiz4qDITecN0Xb2qaD+CLNsOSX+NHwg79B6
TKXWo9Kiy/C5M5f8Hq7nXcoei4q+iJMXQmXrV0uGw4eJDtXKmNvos2aa1GuEqNZ10EwuYuPBz9fT
bJLzbofTHSWjGAOaU/NnN9e0c1kk4wACk4bpoBnglqwKh0gIFCAmJ8WkcxwlKfEyyYL7msyu6HWB
XYJSVrYbGwjCi8BQP61waHs3rRqIBX7uZE+ziKJ7SIl7u+zJhY+pOm7CxfdumWANN3o5VaCKWXOf
6FXRbFzI0XLxHETURCX7G8zVKW38NTN2/21WIYer2WtcfRVlQ39w/AYZi0zrWxLjk03SCmcJjLJ0
VhkawEOzDCnBaLND3IhfeSf6aH68lYPbPw4KUkB9WO5SmqW/ssXwupUf51m5shaneqqzsbsFc6Mh
F504OX6Gl1PDWE2YLtCFwAuX5B41TIk003aHj1mvE8PTW513EGSKkc2+zNOEV931b5H7SCIhctpK
WVvQ3kO2uIqnuJ7Zt2Cts8YpKomsarvbLqHBCblzCh+8rvqMn37ud3q31PFa89h2jGFKn9xkuIXJ
3Fq63wqmPtpOYiB6lv2U7AezqDeLPycUm4UzvFbA9h6cERhnWRX21sf4DxvKrM0tenSoLlMsCEvq
2jB5rnVePcMZb0pcwiGE7dnduGKIH8fZjR5yw59F9sbVNUaSNHPIAvD5rCLSWhS+BMLEJ91xc3kK
29qnG14aeKm64WW0R2fv0eZ8H3ocQxK0QFjTk0WyHzwCFAZAQMVQ7CQ7rC2CJbxCPKGrAQnc7Uz3
atvmac7jbTarGftlhVaU/BQBDcK3yg3cZKV2VNk6UUoHzSUUHiQgvLXQpPGXioNBMNBdqQv0maX1
SHWzyyAgHBfoqatZb3QM5tAZiKjnvOPogStGu1WuC6/hDqTdrZ80NbvBvNebKxOo4Bb+TXdLmCFB
hMns7s3JH4+9ucTrEb4FAnq85YhJl/rgtHV/ayR9/giPyAJnUDr2jZMU3aPmt+cl4sFMyfOgY/de
aCwDmZcyrCytdYLrDiRb0l603shOJDG7q7ag5ognWzw1Vsqq5eUFU9zWgp/jJJT8Kai5ZAy91cC+
PBj69MG0imffajLyAnmwNWqDpAsfHegNm7wUCXavolglkGORd7eZt2sWhzFUCs9US8rxoptmtNaH
2d+7pbVs8C4PNx5ztken6lvsoODK6Q7Ye6qWfOPYPlSFUAEW2A7pG7IlpyORZssHE+DvRzdHDxYp
OAMpjNGtS5/hAv20P1RXioN/JTpADGatRPmn/abTnqdHpfAPesrTi2wpeVgUHCINK29XKmAEGork
OF4pEqECShCiRTdEQSbG1g5XIUAS9t0gKNwm9w7AW14ZeAFvCEFiTApZYSt4RX7lWJgKaTEquIW8
ci5Qw3K2jSv/wlMojPhKxfCuhIxYwTLouRbH2I7a+wSo99ugA9UYFF4jV6ANXSE3Esvtt/SV849o
5zxa9LRUViGX/2PiYcu1e+1kK4SHUDAPFZt2gQOXfW4V6sOFY/nkAvI413UUbmYBEiRTcJBh6bx9
olu4vTIFD7GvHBHyQPun2AIu4kWt+Woq4Ihp1uNxUhASjw3ebtJscd+2dqp8YT1PFdiS8EowyRXM
BPVSd9TJWDq2diZ3uoKeEJuXrknuYsmEiIJoOtmxzY4ftJSBTpAqdAp7+3BtJp2B9lyhVfSsira5
wq3ERsYu8MpgIVur/WW+AgQXBWkxFK6lRT3dBgsMl1zBXBaFdTEHAC+VTGC9MAaA++JCgKkVCmaJ
5HgkJE0hEClSud8UNMbpxRMaRQNSIIaEeaw7RPzo0j9UCjljLkq3cOXQsDDVO97o02ukMDXmlViD
XGqioAVjg4BtYcrcd7d20527fm6T+7AxRddBzAEdYkAcHEWqf5y1MCt25eQ28QfLhsfbrbrS6XkT
pXgH7pcyGoygMPt80wunXs8m/aRNpU/Lm9cNzkamc7FqmpglOIItPARNMwL8jOb+ZtRzmhtTfQND
KNxwk8o9lzJb98wIz2Y1o8os3Ns+1Kp1TRT6F2XSvzvmn+yYkbIpNNzf18f3UVx+Wx9//YGv9bGn
v0OUBmsOyYot/Ku48WuNrJx27Iopn6EZX2WJf9TI4h3py2iyTBX0gTSLyvV3O533DjWELqi3qa+v
Jrz/okb+kxPMRaToEeJB1AsVJtX495Iguot4Qwrb3hNvWkmCi5f0McoqeQvualiZs91+QD6ybCES
LFsmCvLWyzomu60+vbcLr3ohGbb9oJtF+yGcdGPzzZn8qYgS6agPt42vzwc0FCjvB32U33vkcY6+
tU9IAnu1I+ahSCGKY2Ert1kdZ/ONX+m48yvY0D+RMZqG2h78oTwh0kcFxGOEhDLCIJ3tyg/nJsKW
6xA3tpeh/IjTwmRjTSbDXeo3pbN2Kts9EsFbkDg2O+5hsvz4vUia+JdpKZY3t2/rYV0xZbkNs7Dd
4G/IbjqSg9NNU5fOGQEHa/3Uu7ibxrw7isrE86FXVrA0PQOrKcf3jPImv4+MGSodZZZY6V5NRTgK
1133/QJjx+sjrQ5M5FfBkDjGS4i6ISCpFTNT6zFnbnktN5AcHyNCALfljFA70DrTS7dh7eMe8yXo
YTO29A9a02gbdBWXflooCKyF2FXahlVxaizqMC3SqBAakrh2hODJVQrtKaDK6UEDujQ7glBi5kdN
hyLEmOaPReLlMJNaXxztMQGi0MzdB+ZaCgOmU14FOu464Nq25+yIBJ63Y0R0I/4cgP+Wgc4coWL9
SAZwckaoEIt1ggHpJUMkvi5BnTdrL5r8zdiDr9oO5gTML+ZRepykF1JSk26VBYsVdRfRl4R8de7Y
7xHFZewSDIqrKe7BJghzbCV6daFvSaNSvhvZpdjzbacS2gZmi3kopoYeexjGxsiQnKIxaRaLy4pC
YgdXwdCQDDhIhGz7o5vM3iayneIhLZpp24bMeJjbo5i0mg4XPDNBQvSSBJ1JN9oPc2ZoN4vhhW91
ZAzbVI+huQ0Dyh7h74Hg5o+LMQ8k0pZ9crskXrL27M5lGN1VuyXXl42fVR1zuAZSYWd0IXFpCfyj
FRb6CTAGNJgbDzk/ZjdvukUNI5/NxOh33hhh6s5cO/pk0ahBkCQmm+LJzT+hwE7LwFhqREd2TOiZ
L8IaJ8CwMAZ03IbMBJ69pyik0j6hGOttmFuQcMcn0eTxVKG/KMoBU5SsyTedqNYDD2zZW5FEMoaC
1iQ3hl6Ob2k65ILYmCingVUR46rfsR9o4leMAVm184vBMihDGnm79Iu5z3QzGT46U8zkcibd7hVQ
dNevJALRhqei1tjhyD7J1o0PshKREy74TUeKs7bBMTHfDVTW86rV3U5s+gFt6xMRWvO8m4eaAYuG
24skraJB94GfLKx+sfyRIjRVAJrAB2JOUOqYYiytw4hXQVccm2iMecXCmnil0c4spJkzbvWJYdac
tukjTTq1GEZ8fzKPi/tk6d2T0SNggG3mX+dAfLc5kvYTiXRi3NR2K1HPDFbLTt5J4IrFA58ekMiy
o6++7OISPSNiiPJlBPvXBr49VMM6GnmQ2d705Mj2+tT/qidNr98xPrH1ky9HJSahp/natBk4FWJ2
iGFWSzlUHc4TCYzGhpQjNaQk4fc0xcbynLUMLctVOpI01N4wP5cMknkTiPmVPUujV7feEOv8Iw0h
mnIfzRShUEcE24ePRThlcRto4MJe+7nLuXWapT1A0XZOdSv4xANRQtp27CmzFJasuqkpTe/ngpka
AjHEAEGLdfDcx6Fxb7FFbwK6rtk9U1E6FkUICmzNHG7YTyWbuEAfSLQ65lrjJiyJVH6BARxvX+Br
H05WDdQtALAg+3XRNu4v2lCMM+i6JvVXGfHoYl16zqwjh6BZEEQoLl5KoZWnyMHthuQrKQNJl3vP
5AWo29iWv7aie4+F1NkjYEjsG9H5dHeczMzWWmpJdj5I8qyAAWcOsrGEpGTZidyKXk/vInOQNWcG
KGQEH+NipP2Et5R4iN/soXCSYDBFtC3HdJMYJaiyTNjT0cqS8gBdMjqSjtqg0Ki9bE+EbGWTttSI
g0ly8d43jAXGHGkEl5T3DOHmpk+Sn18jSxR17hJBZrctXLYSTRDUELeAbz+aM6vf4KB+Yx0PV3Zo
W2x4WPDb3Gw//NtY/Z80VikbFQXh7wvH06fxf+1e8wpLTfPpuwryy09+rSBd/d1/UAxMSX730rjG
O6o2holMY8wfIGf2O/pFwPR8V+FSvzPUGO8op/jtJnpaNn6AH/6L6lEVh98VSK5KAUGS6ymvCU3b
7wskC7V+WHusUmlhRys2UzIAh/T8zUn5ixqQr/jng4B8Vok3lGE/cs67ctAqZCNgHlKjxsjdLusI
l+uqSq3uJ+XmD/1ii/hG3+K00I8gZ87+UY5f5pAXk9BcdtMQY2TLkGEyeAf4VdLzyUj12OWi0W4I
OLfw5s3lTw7/p9OpxmAKHCfYFPyFcSZbPDphRr0DzH4xcveDF/8MOa3mYN9dMXUIIqCA3HHd4MZ/
f8Wo8WaSHkS9s8V4Id3qmQKtXPUGvS99qT/985XDT/Hnw1mUwDaOYehVBD18fzgzrC1nIjxgZ41m
fcvoWoCo8wkVS22gk9lgvWeOVudonepOh7sDZAYinL80DH6avGGQLWPUGyHtZHrn6R62tJ+j4Rj8
ejWRT1BiH/aprYxaVGOQR37QAM/dG7RIfzUSqDtD230uLPWSazrdeJ5bUrg0vCWgvUBSnaK6B7sW
peaa3uz0jOmxOcYM71DEIGiP1hZ6oYtDTvqHeHYJJ88b8yzD0r5HAJ0+OrbGym3BLurDLjwhahHM
4nwYf15fB6CD6+3QL8secOZdn2jD1szzz6RLPJax9ZuzeGeyE2hFWR7UN336JVREDT9PnI1m82fm
vKvXabXUN3hACcrmjWW3yfipifx67ybRfTU72joGOEc0cd5vGK85p2miV+Frjrw1QvPZ1YS8TSha
0Gq76AmG4ROtYP8ykQe+nkWSnBa/Di8dQKNVD8NP94dw7ZYhApBRDruFCKlNok/RXdHCLYpU7J03
jwc71J10M0IwoFlFmKy/78g1n7YxsoNL7SJCiTwbiqEXu8eKilc/FJWQYksx3TjvyRDSPkTpQJO7
FPw53jQZl1KkwwEnJ51s02aL0DRdzlW1o4PM6+auzHR7YxR1us1hXiFaJa29LuEmwI4TeNt6Aw9P
pj8TF+2tKW+mFQlqRv/Sx3oNV1afxVFb3PASR/WyKeJSBFLlakc16oRgjKm4F62RRymj5lwtRfMA
8usokea+1IvXXazeTHe1Fok7MZnOjmysEsgRPKi+K6YbpjIvNC7tGbpzH27Rx0w7An/8M/kYyY1G
VtUdhoPyoUcCYbT9fIewr6pxMmT6lris+oWeL+On2GEWQzEObMC3+kMsFVNwiRzCGtqtlGYJ1rZz
4aKL8JekT6M9P/ZhGsJbK5f1Gm3vuZrT9+gh4SMPaOcsBlwHlI1pEKPppd0bjmdNjuIGg57OgLXK
dgzIrL1dtfUBjCD6Hj20y3viTjwExyEIFXwRoX6mnp9fW/y56DzpaA5ogw5d6Bg3tLXhcBHOTSMz
R4mTytqlLq45WpiaJc+LpplqOCK3JLQhDtY8+eKlXbFil+bfhFKOhylJEriW/bhyfC26odVKNHCa
awEEDpgqDCxWOUIWpiDZeLsYkThOCIC2MnH857IsE/jIZB04bvRqSvODL5Z5E3ad/hhPs74zBvMX
KDdHzcvCp7TUqc5czrQZL7edxVhmkCnzN0vr1nIkx6wmBHrlLMmd1tbVOamhERT18gZJjwIqwlpD
+Fc47KUW4v7Q9PM091voHeEuQSQWlH413iypmvZIp37fEJpERHc7auuqbkDuGaX52g4Z2/Oocjbt
tK2r0LzYSDkxoaRNsS/coX3otcp8Zd329nE+/l/2zmM5ciRL169y7a4v2qAcYjGbCIQkGWRSJDO5
gaWEVg7lwNPfD8yqmWQwh5yadVvbtFmPVREBwOF+zn9+gfWbEWOpvPgKxwQw5yt0ePMpzDPKXyus
p4fK8HLi7cV8MJgxIDQRn2VF92z6kENHL6zgo4VmQBTvJdDALuYAWBUDlTM9LZ1IXhjlqS28Qz6Y
D7iq6StIjOU68uTRlp4WzLOGo2emeVdRmP2A4JCu56ZFRmraX3rdrr+mvTVc13Zb+CuR8+2xJTjX
yQSyj/1QfnAKE3IacgbovfP4qcIRHF6o5MoYPk6Q5UiDw5miVOlPHwbbozE2+n1IctoHa06dwMrB
QIy8SGEiitxC6x13GwxiWr4TR30vYLBfQztHkNmWeD666UcRi3I/+UynMKXO+7VhK3ud2uweOaTm
XT+79mVuJSOYST0PWGN7GtnfSC+axv0GRoaH+sI3Cxqo3Acv9dzFgtLYlSIpNmhEiMEbpmRvLlYu
huPH+z6B1Uy8tdiLTohrh/DUfaxF0ZMnNkWUTLucMWVAsp56AMcqApPhOg7jEwCzF+ENqht1DiCT
mXd242ycsSgeuymznxTWiCdHOvNjW1ok4SUEraa1lKfeqLttVmCf101uurezHCDcYZFxeP4ssxaQ
vZGwDqOwPXA+jochtdgzGlom56IzisnMIRm2ffDvIv9/VuSjNv6tKnqlmF+K/M+VzF7W98//0t/1
vfEvTkOiw9HeL35jC0nqL4TY9f+FJJZYbRPdG0r6Je/gbxbF4rQhPHSFzgLdOos9x3+xKAhQIQXB
sCi9nrMQ/kGNz9VfVowCShWzeIt6hSr8vGKkS2wGXY+qw4DmKFlnZSSuLTnWJ+bL74WOv6pOuRZW
2vpi2mzTpp/1E0OrazObcHlwrRE1IcjNiQ3G//gsM2wWLclvr+IPrcXy915Uw/gN6BAyXRSaS6z6
eTWsUeXVns71wP+i1cikeEFekb12CtJY2S18d8BFSKULE/Xti7+qjbGv1vF78xeVPjDz2c0igmkR
GLHvz7Lrvhck+Tqr3Bi8y2fB9bPeKTT19275D48YPwUs9BwM4F7H1RNenMrRc4sDeYbqJmND/T6U
BYxiP5EIrnVUem/f5qsL0ojq2G1zRXoOhO0vW4BU11RtttJnWyQ7lJBQCrS4g2PnWRoGWn8zO/9b
Bb3x6rm6mAzS29D+8nDN84nGhDnZHMFS2PdQUjMM6cPWvJ7nBt2ER3YaDPw+MU5eXsLjnTLjthlE
+bHEE3Vcx042A9S6rXvbTaYJRWAQPVKTOm5xcfLVp8n03lkFcKXOFyFzISYvBktQh6Z0HiJSFj5h
1gw498K1IvteK0wRXrRRjrY5qhoI3U1kjEejipn/ruAVo+cgkRx+QA4DWo+xvU5aJETFsybBaiHj
x07OWmpDE0337BlAe3ERHwfi9opNKZGMFabOc2gyMRtBb0LsINgnMVfjZM7etl4IyIBqyKv6RTVV
a7D8nwXeYbKQwGc5VOKrNzBxBNWf1cDUAOflC2kJdeOwSzhB4qG03KPB0h7TPPbD20aakiWHRy8C
A7dlRroAzbFh/GCVguwiKWbyetXZ/mB/UOU0XmKpjBDFESl+q75tY/u7bATQqPhO1dCqG23sUNtg
juqtVYhgrF80ILPUUU8NGWocNSAt9ApruNGxmELE08xsX0pPlxwCiaZNotGpZI64rhjC+rOFPu5W
azTY/13vYfSQiC8wFkzqsslXn52qAy12bAPB1LMsDc0sdwoIQd+Jhwj1/KJdMtMsgxjtoVjMe56j
NyOnDhd1X+/z0mavQcXYzOLLs2I9iUhFaKxRWFvIMYg6fKUhvGkHxDa/1moMHEEaBhVLf5VkCiUZ
nHDU5IKbZTxQt7t2HFDFaHLKYsijYVKgtNEafHgcasB+09lm/IhC2v/o1eynQcdgXm1+iTZAHu0v
VcsQD9ybj/9ZuDhJdLuUXBTfZcLKUFmt/TIJkOSkoJ1YWLJ9P6EVGByTR8rXXX9WKkVSElUZjhtD
L3lJfmxYhz5GZbEaFz1vMtrw3r1FHvX8/JlSiLXVe/YmzhhnUa+SWtOUvn56/me6MMTdDCUW+8Yc
7zXu9QOzjyEYQZ63fdOygOPl83C6bKz3bZuG4YVB+1CvB9TZpFYqz7+1dNeQzFCwpOqRa3p6euro
+Wqy7gh5VXe1g70x/peVCodtnsLPCi2Nf6HME0M/jEbngkxHhVbGx7btEm036T1a6ybSpvAWoYfI
VzESZtSscd+Flyasqs8gWJA9Jq0ZsDZv5+RmnDRzfGx5/PQ3ZTnsWjMux9WsM23R8LxeV3qWrDQx
IDKP2vvaCuONSiaSpEt/ArKnlI0bdQBBsbe1x+xFeEvvMox7OlRFK1ape6foq3Vcg5Y4pjadkDE5
65aMkE+tbjYBzZez6iZlXGskPt+OiGUxEg8H8QR7yoeqZbWjtY78RF0Mrjbsba+KADV0s6InrHBo
whr0e9OybeJG6h6xwnNOtV5ihd/P9nRJEknBC0cgXOE+HC0ynbn77tNsj0GrQVQIWNz+0SYdqAx8
Zpo+fZjLQIpg3TJA4fXQMVRaJ7IhS9ZNTyndvr1vRostG6sXFt0vfdCzdjU2+B8r9mV1yzHHWoZi
ESc4QOCqMM6I7aaW+bQAnf9YTDF9mRstk0j8StXtrOLw42L5d6ptpC3YkyvU5tn4RVVkm6TCYcOs
zOw+1fT0kUkfHxYTIOsQLlrpZNG9eLWvxygx8MPmGK3AhorNnKRl0HIb0ZZkAE8cRT7r/uOMS8xT
ITVtPqBY7r0DzFI8SNcwbdTWkobMjjBXLZLKBuFsZJkdc78OL1EJRjeSCe4hwjGbGOLmY97JL1Oh
lt0/MT7Sa/VB2vOcaMfY50VtJEe/qs2nXsMXbZ3Ho35V+6N7RwefuUEyjAdBUtUQWGNjIPsx3As7
rKS3xWmyvFY9+r7tbJsfCybSQaUYGa8GhPqBTTyRi1P+EiRXWGF5Arixv+aGxT9fc2LJB9SYZvgV
SV8ikYHUYbWdPQzeV2aU9faaWZh2SThTz6Mrwno1dyL6NLletcfGy7t2Y0sPUm4JBmGNOeRkhu3n
SnnUIvVi12ONCZIupt73I6NquUny1mazsPNIEoHVTofJSr2TtmjOZAFwGOD90H7Hv9+/FHhXYybm
zOxDuBtgJhDpaFKUtiylHl/ZgFAI4/RL3do4Jnt66vN3BpNf43SLuwV6OGud54vCvXgWvrkgX0TM
2/w/oJuyBJXFQNJBWFQEkZmx3y/yQOLZ2QcHEZFE/qwGB+XR1qm35MamHCbFGoxb3WDQwbckRlpS
d+IcJxEFsW2I5dAMLbNfP2+BjIfQ8rqkXeCDQBpufNONpUeSRz3al2Pf6/TDAkm+7LT2e2llnByG
JVkRjHDFl+eczzYR7NOFSNASEiCCzDbvhEvFMFmGs/v1s4xSIG9uYhiFR/w9Ob7cRT2HQwlS3QkX
nm6g9n02UjHmHI03NgNEIqx6rEYJ5kGaZK0Jo2Y2aTZ1fG1C9OVlFTX3ir0nlywl4Omt3dR5y2nh
gLwApsdRk+UgFDoeFutI2c6xz5ZckqQR012ISuuzExtsrJPUoPDVUjGmzPu05cgwovvRnQH/Kj13
Lu3Z8lr2Rde4yytNP9YwIn52svF3cT/6CuNZbGyCREPhZqqRZeHlchHW+R1OWLLheIqkArySTL9n
fkmyPFHkJEiQBJld6772BAcmjjnlXbjo+9PU4jX1xaIab3mNGmO2cNWZM0xRENpaS8AaRKijcZtI
suM5UVreORZBq3eDo3KnXidjHMXeLYCJj+vlkpW2hAJEOHBspyzRIoPMFqplUjjGTqwY5KhbdHsk
P+l2mK3DvEiCbszJMUGatSs0nxrExc/iiCdyfLKKbkBKFU9wNiaAQewhjnk614CocXNbeews2RBr
n5TmJ0etA+wd2sXfZPKKPaCfsZoU/rR5Pz5jJk6AWzJKFte/sCcs8ZvC+hB5bOmWjPotMg0jkLNR
QB9XzaEiuRoX/ty4LW22GHDaTq7SQSYrI6Mi6Zwi+4kRgth6QxXu/RmLSqaaQxXwBY5rdoWfpWx+
avl07St7PLCuKQz6Rr/2u1q/FsXECBnyptNOxR7MpSG1JQrvlNNP25RDNEibeNwo27629c6+woGn
/MDb5lwuVX7k5CsARUnydCEQrL3C2UR+ftVnNulwPKprfaojjF+cHgjNtE7VUBBRhZSbAhLSXe7n
4IzDjVUYt1R+5cbURv0n4VniaFnEFiQYL/upXq5Kd7RDD6Hw/EPAw4tPds8nvGW6NcZB0esMZqkI
BuYQnMAEOcA/ZQeJF/yV84rdsGPs2zemdnCsqamvWhTZWEIuwu3EkazIeQh59ygMcBqesjFNyNgD
c3+7bbPPu5LFgd/FO474IiCI87Z/HszU58Sr9/Wz8pMyFkWkXPwY3r7Oq+4HLRnm52AZtP02jdvL
9hD+UYdyGU5LXjoUtj1Sk3tMHFCz2grlpGMvrcvzdvj2dV+1/lzX1fXFkx4VG53iy+vSkudWirJg
/+xY0WmF3BetytV2dGP2r6ooJ3jQZNtAqFmq3Lev/mrQyNVhttkOHzg/4tnj6jdzQMijoCeGU+1H
EdKAzDDJ70kErC5St2W3hwbMf+uLWxR6CZRpz3r855/wbz7nO3xOwwYv++1tvULsDt+/xC8InX/9
G3/Bdcxm/6XbFv8xbKbsdHz/CdcZhvsvygJDLBLEZxzvb7DuOXVsIYH+gvEWYOtvsA6m5+K8p6NS
p510/9lAnoDkl9+tvvwFMEFilxn9A/ScQVqZgdOqwE/6BFlSO0S4DDUXpTtN5kbzjGlR6SmzyKzy
qHQf6c2c8H1/xXzzR1zN4s52M0usjcq6h4ypHkm0SS6YyhOLk5semw56Efj3/tz6VaBZi96QICW0
h3E0js2DXjahtip/+btmPrasw5AzZORs8psVxY63Tdq4PJAJbq3dFAOnAv5QUBa5HYAGim2cGCYe
6X7/gTNxOTr0MQSurwlFJrVlR6Z7czR9OX6fjfzJLjrvuw0R9XM+Vu5Or5P6SRaZDu2mcNg72y+o
4glMUl480QWYMr6Yp1jt9bqyt7wo7VSmBMwQgzVsY90zyEySv+xsXTTgxbAVbd71KzMZ02stjs3H
ATcZJoF1YEB2W7dJrN9ObVnddj3RXEOnP+KI7T8ooaZr4mWsXW36j3g8OZtBn2DFDcUHO9Wavd1L
84RPvjz0nhUilkqSy2IAqRfkKF35Wv4FHpvANKysN8RIZRdIRvwdtc3wtc3c8DCFwAUInvIf1NaS
DEcPFAV8uUF1Lqs9DMoffW/KjT8m6pMwvBFEC6Haqqm9iOM7955AtlAFMELm2VSPRVI8MttMrrAw
mhf3s+Fz2GliY1lltcGZyyXMyi2AbcZl8JIXgzCYoPnFnTtTtq1CPa4Py4p8YO7nbCEaYvqNR0+2
x78A+mDsuh2/fnADHKYGJlqD5UyYmagROQu5Prd2ZmQ309TO1+EYI9qa7eYyJhlgIYoqwVXIdPJd
197ZaS7xotKs5G502vxSFPV0SWdrXSGKSLcO/P+bUTZyW7at+tZ5dl6u8Njs1n2m1T9hIaT9Khpt
Y1e46Xgp5zDZK1G2l13ozdVKOWP0HcYvXiR1LfaxgSkEh3Pton330V4lnaufxhLGmCP9mT6iBETD
N3TwydRp+48W08Bx1ViTuc2srIHaq7tJYEbxsGV8JyDMFrAFKoqEC1oEuGkdWo0SomYlt/6oLpOG
H+XiI3Zs56l9iIhyQGeEZOdn1ZM+5Hm5v3cTopGk0L47s9BXVhynIHdh5KwsYijMFepD+ouFR+ym
NKDJMGWrQboXdVgmN3iuxtucCNivA5O5rZkYzresCefjrOBhrp0hdnaM9MVKGt34ya9s60bLQjfQ
XS9kzl350brMxumiGjWb6onR4hEHm7EOisVanwn8fAOtptrMxAutHYdOv1OWecAjTlK8CrHDRKpf
5nPVhyQpY6h4zBVXrh8lF4w8p5UABy3Wns8tOQhKmERimkQ0FqM6EMcJsdlAOFYXTptk9OaHQTVQ
nmlot7Ggt4v9iVfS2eFV7DG+d1BWGKEn74nacG59q9/L0pqvx14f10gzjqLns16RpqUOSViMsGKd
Cp8xU9sYo0HmHCj1dJe1eX2F+Me8N80mfUp0owk0JwP0GCW+QlMSh4cSDtidShsTSTS9iar1K9Id
NnpZjR8iOIiXU1qnazZPfK56XnclIEiDt1tsCmjgIgTlh7kxvhujAFKxm/JgGoN5KNregdDcIrYq
axOD/zDaSdLggjDBH86tyTCcTKu7m/14+lHohMASRwGlNSX9wZ0aymppxDT8lgnPLxHZzu1JPk1C
NnLdnLuLJMY0AosqmyF0Ga0db3CudFVqeGaxEfkR3X+Y+d5nq9LjPVBfvtZU7m+k3U34ubTC+cwh
OO8ZQ2k/jLTRVmqM8Y1z7P4nGckV+FNS3baNY6xrG21r1ehformINo2RM36sBsiSQ0uAQh028Wdz
jrpLWeS3bVX1x9h3SkR0sr4w8bnBDUJU21F5841uJP51S4xEs+r6cIaf7chdYRNaZzKiCdqMSMPe
je0f0VQOJMKobz3h2euMPRO/jWyM1xLCzmWs2Q3ZvmJ8rJWfrMGB5lsHl9CgsyrnM7Rwvg0kl8Es
YFsaYK5XYHvM8HMC30aR2E9ZPpSECjfJyQiJsJj1yvgC/mUHqpsfCAQJ1yZAOuxwB9KYjrPkHfR1
FdT67B0KP7+ddeNA9aCjq6UJx0R14gWXjDMCNxk+jFR+j5oSxRpRIN0BqrObNG+ncqWhcvpIllxz
9K3GPUZYNHnsoGSssW9qa0xlLls6m9t57m/A3DqIVHp+0S+5G4K1d59OZnEMCcbgkwCi842SiJoo
hhav3WZwXtd0xxWZkVYYre0y8vYJjdU28rp80yJXQnsQXqZZne0qjDOBxFL48rOOpLEuIJH0Jslq
BV5MEfX8ylR5s1FeWFxGQrJ9j+H4JU70eqdhrXsxD637zXDz/KukXT6JVn5oLXLdZs9+0Ce7PWU+
sRnIrtwD2Ma883q33zRIaB/aIu6Pwim+pLi4HeLUjbZNllS7gdSSfT8veXVKi9pjYobkOSaRDfJT
VjfgIVngcXINqzT9YES1+Zk4tvHS51QmvcIIh0cGEET6zIO4LOokPeKGv60s8Ajd1K8zx/6otNFe
6V6Rb5ISRqAbDfk9g5t613dec117nbFWbY1TUBP+8LKILTCK450H32w1ItLat1W+OLTYIxHSWfRp
8FuIbS2tbz3nyHsdMf8UyM7iAsGlmaXuHVk8YtsZWbfm96EbTq0r0INyU8fGU9ja0DgqO75OSebO
R226gg9xOYWG/ZA3WXlswCg2MKyHXQJdbJuoLHyS/aQI5kvkk9JKVNs+RhfVYA4Hd4RNAHb2NBrs
KwSb4pyJ1iOzo2ePri9aL6ZATha2Sl46H30Uki5c4wvVXbgVLgA4khYQrvMqWseeDgytu/lDSot8
R1GVXZQ4SZKJYoTuKhkzJHBV1Rk7n9zNUx7Z28Kx6p2ndHk1okYNSiW0XZzaxVaPzejSXey2JALZ
fRSmZMcMY+rcNKJWB4BAY0ugNcBWmgpYdOMTHPN0XblS1LsRQvh1PbrpOsPX+ljNstwKb1RfSL70
4Is0M0VK1joCVClqypUzERorqll9K8HRnpxpgAw3t1+KCDofP+Rn0RfNFpaTX60nDGoOU6tjNZlm
2j6aJWC720DKQM6cldhUmNkaVyMHqzRSEtCzRN/DTpqBjdSRI40mHmEp06csS6+pe9cdipgtoNq8
1cOaE3QMjePMPrDmEK7h0nn6nrGE/pOxuQDGz/Ge68YqqJwu2pBgJVeUHnLT5tkH4c6ZtWrhMl6E
YUu0bWmmB51X/VTBC9vDxAo3btnj7BUBfh9l27frCHl20Ix4tCHgCN1POMhKH9o6AX3JrH9waw4k
EIsoPRljZ3xTtZtfzwqfAn0w87WFqngblgCDxp2n0GHAFxq8uPqW9Li82SskyIt/qYozzEzDZ2fT
jslMdT9OA08N51O1WKD6z26oqcQrFMV5bmCUisWiCISfAGFPMW6qwCUYqw6Lx2r97LaKgm5FjSA+
8e9UT1o0htvJHOpDOIVKrpikq0BfPFz7wWuumpp/mmDa6rPFl4fgSG6pzTW0XD7pRRE4WuKKGl/Y
WpXfZagjCF9sYx3TmPmCaeZObu/czzEgayOF893Oa7RDszvXF6Hwx42YfYn5CtqZ1CEyWSvq4oM+
xvDjEJtgohSP/d7OO2/ZDaaAqs9ENksJg9SpWPRF2d6RhMuC6JoXetnaR6mDVSaMujdeHqtAOFNh
gVxxPT2rqweVDPZjS3KGWrUJMdIoJzSsfPUcFidP7nYkemud5N2Euj68jlKPx0pqj7pTox8FA1Ma
4i3xYLkC9DLXade2gbQwC1u1KLJ6TAlq79rjFIbgqpr+gG0CNXILqHtURZreR6gAP3eUnvRM7XCa
yjm6Q8rdguzxsEO8ZHYaCCuebmYRn7RwGCUiG2bFTl/rhyltm7swLHDITMgkhpbli0MGF+K2i3yJ
z5rRfJSxND4Ztdd8KqvoY1i4+qVtkiu5mktd21tmXeNK6BON1g/6Bazg+g6SVUtMaViX7lWvYnKw
4uaLi5gNC+BZRTHmmfqMM5DOsZ/MEaAp/jzOdZZP+WOq1+kDxsUh+nUIlnAEDHNHK9Q9ZLJnnKcZ
FoNOO7poi6jGpiMqt6lM+QiVLOeVdDrYn7Qe1DpN0phBGIvxK+IunYpfg88qKzXdNK6XgYb7eXIr
I59KrJklHs6LDgcamrHBMsc/jNj3HuJ5Ti9FPCSHAi3oKV94xq5yWEy69jX3qvkhjuxQrBysQDAl
mtg0dJFNjxlbBZ4Kw6iv59Sdr7WpmoO8r8NdZw75bbnUSdbMukLE1iEP0aNj+DzCpfJdJ1CJ92Ua
YtpDW1bRfy6FrCHkpbAorpNSF8sOFm38ieDxmGWXFs2nqhu94trI0tbCFhGw7aoxOAWwY22Ji+1j
p0U/B7Np/o74RR9vDF9L9w5u1vzBQZse4f/V6n4etZTzVetoeLubXsf61Nz0vQs9Z+VbUo0XPBLp
edsqamL0lq1R9dnq/+Gs1MZYDKrTHKldqLkNXpOF+vgb/PMHlpBxhhU+ZwHpcK1cqjLQnXMKS92o
Ec9qYzxFWisCzcdGwSBN1lXFQfO8IIyezMJaTCiPVia2Gk7SIjY2nhte1f1MEne34VZ3/pwylf5n
0Qm0NvpCATN1w3ZczLjNMxyzMFD66ficnupantyaWpFQx+Eda/kzDthfYUg2HH7ML3T3/AEIgnZo
eocRxb6+Wv7P0fItJOjtvyHJ/wmJ0ACFgL733yuFtjkusd9fujD9+nf+AiVRmfMnAJLJ5LRNFup/
gZKe+y/HMjHX8PEKxRHJ5eX+BUtaIJm64WOdxh9bDJJYPH/BkgT1LIpruGnwC58V6P9EJ3T2AQGv
Lz5MKGsEdB6wfm72RRbOqGh+6qrfgzyR2p5nPkNSiCn+gqehZ3SFLC8RSMPk9uN3Rxlnq1fAqfJM
z+D5gMk6KKZeXr1p8BIaZtXtxp4EAHdi8GNgPRFMblLsf3stf9gq/ngpf2FlklbEozu7lESpahiF
6Ha2ARMhN3FPstq43qC9b4J/fikepY9hlrGI088GJ7MBMWeybbA1MqZ3ypqbAB5htu6U2x/evtTZ
tOL5AUL/1BnPsCjEOS1TDbhv5IIH6GPpuxom80Mpe+cnHOWACO2Fvk/49hJEuK51u3pnVLJsYL9x
NP+6OBTUZRVjoHB2nx2UjdCqu26nVaCNyEORcxtAhG/f4usXJ9hDTRfbMUgXBNG8XCMt6ZHt0IT9
or1wJGsTaspKqMYdNmldMMp++3JnKD03JUxjOYwXYFYn9Orl5QQzJQuEsd9Fk4OlbCZ/4CD7kzFX
sYLufkGYfb16+4qvHyOmeOCg6MuYC2DU+PKKYZylZAtV/S4FiyOJ1895Wf57CrblMb18WVyF6QcO
ccReCWt5zL/NtTAfx5G1yfqdBfjIVFW75Mi8nkD1gUNh4bx9T396ir9f7eylwe2NmkjkPWDSiKIH
aCMaGDPXoBSoMaiwZJZ9ffuSZxE64vnN0Wc5As61z4I828qmOAMsGvnsjNhhzlzZ+cdI77FCq2YP
xinmq31zi0jAw7oXn0mn071jLax9H8kFpvCHTa/wEpCjW39DrKUdAM18VBddc4dDFsL8OFobWTO/
szEZf3j/BA25uuEgbzRfrTivRbBTdXxGMAltMiOWoM6VUmLYoNHhUG8NLCDJgsepJ6txclL2kz5j
494TsHFyO0wkozryr0lxit75FsQffxr78/KFQwA/L2FwUYd2K/IOdDeGzRWLANBCrRvP6TYtRu70
OhamcqPj5wEoCqOrMpWXbVgg2SlUBxmMqTtT/HTVUGIC5+BjEpbUoGQXThdRb8oTvbV2wJ6SjMKh
64KRVg9LMJiOPSSjj93ghWvfSpq1tDV3C2qaIMiW3gYG8bHLkF6PGlqSjkZvpXJxEdvZQz964FQ2
2TETWvmttDBoGrXuuvIX0X7iYpJv54QGM6q/1ONp8ddohl1aYv4diulnNlm3nddlK3CQbN/BTbjm
L5fbt1fr6w8E1QCFAV89Z7C7aAR+/xxVG4lejMtLb2nCsj5ekwcJqKnu+zmsKbDxYfhfXBHfFqjt
izj5XKzrS4UX6px1OxmGB6O1N7kRffNL+1JaJYww3/n09vVe79uU5ew2xPotdG/zbFtrIx+nhLzv
dumU496PgvKA6IWe2ZRT8PalXi9TT3gmpTZlNsZm54yBqBdDOg4Vp6A3iItKawycM7FW/l9cBV4A
ZQp+lTzDl6+s0EOt6EYeoOaAAIDI+Nq+byLv5u3LGBSEZzs1dwPzAp68a7gcRy+vA8toNpzax+QB
mkUAOsQATeGB4TDRRHbXupQULHwdTvpReo/SjHYVw8D3tiUm769+BiUMSpZF8WzYZ++vafCNSwa3
BZjM3Q1Ev3wbjmm3tccu8daWPdsHo8ToRerVj7wa3dusW2S9Qh+uinkmdjmrwnfewLntD1v8EmHo
okTxLP91uxfZmqaFUGJ3ZdSXB12Kja8z2pvLrjmFbQ0d2+3rz7ngU84bbbru6wRPsUQ3ITGXVeCW
+Y/cUMMpA4Ca5/EJ6a+5bpKuvpvKPoHcmKAWY8RyLKf8pOnde8XFn2/Ah1VDohzJY0ue5u+ffWhI
v5i8kYcaT7cMEuttP9rRA7lWHPqNmwYhGglGa07HiSULrEjmL2h179EO+AfQgnCtPDlsYr3yP1Sz
W9179vxjFmF5JH7C3451NOGjmmqLq1u+lUlTv3MkGMtrf1lH8Ap+u4Oz1Tl2OT+4mohBIKPguHiV
HzvBSBFibtAlkk2+d5ggpvoBdG2xf2LK9PYH8uwN+/onYGwAp8/EOmjZDn4rZfAZscdJ9O0u1eIO
lAlO31fKqhvXbktgR/17lQ/qEfZU/K2VQGkDnjeVGQeZhePqELVbUyeEWyKMXwTGYwEDoScMigvu
lEDzCpHU+DFhVsJW6d65FhN5PSWYXfMfIXnLvTEI/RJDvnw/V9UXd9DvnIkLRTZZXPUI7PnOM39d
unlQkbCLoEJwdLqll/crEKhlJJq0uybNH0tydQcsdbQZtjPEEGvz9tP9w7YN40XQedouf1g/65OA
qp1SsunssIf96Sce6QzGgCeM+qcSr+Vj5kqQrRCJOOi8zmrEJowY4YeClSSj+wyBJ4qUJY4KBQTU
6SnLYbg7mncMHTKz3r7JP5y+DuoyB144BxOF98sn2kUggUQUtrvenaBUeDfKbXAXDX/mbveVltd5
54B6rj3PlqyjC2QdhknD7Zzv6f6gtSpJWLK04eUt1lgncwqtYPHXWVvD/EMPi3vo2SqIppriBtdG
tBKRZMQ/v3Prf1xMiOs4WSzXZkb28taTvhuAL/l+4cgTo1czlyMZDgQ2YUgk4vTn20/6D0ezo1M5
oh2k936FTzkEQ0RFr3jJk1S7CLOB9cwk950e8Y/Pl6hOm5XE433llQcGHpGqW7c7emS59gYVB0OZ
+msn9LTD2GI/Gw12H2gT8UkjyR5r0IB8owbtYsYv+J3v9XVT7j3n3NKUg8u98ioZp17McYtLkwX1
aBNHjEJbOV9Nw4SxaWFo67otEHwvRklV1uvvfMDnvoHP3xXVEA+but1Db/TyDXfREJoW4hmCauz4
a+0uzJFRRt01KhFRwEyuHGdd9fyBFX4bMDsHp8lFQLo5VpkFSW3ZmrHleDXEFgxks+t61NDRu8m2
f9hooFg6yzwd5ijRwC9/ZoxRMRZeTrNzVCi3vT0PGxuzsQ21fPLOI/nDpTA4sXFWIeQeTefZ557g
vIDQ32123Rxi82FN7gecqpnOaQ4Jo28v+D9ei5WoOwuk9mpXgxo2d7VnNzthJvIDkQwO3n6Ei6Sy
A0X8T6Dx5tfu8X/KvripkrJr/+P//mETo9oFFqFEhGR1jlSYcxilVc+VEkuPAqIM67sCZ7sNpxtk
MVXYTH8h87x90T/eHv21zQCDlNfzPOIo0ksS30Wzm0yD3CVBlgvDBjOQOhZhb1/KF38oQak0dMyS
yFbAb/NsJXsZThDRbLBEbInm0pmmDuvt2B5xPivCMl87sjUDh5ocIZY1jNqWzrFXm1m5VvEBvQ8f
V2KBMR7Cdso/mvWA5gE5j9dDGskdGO6QXL5Uo2DYyFCu3UZxjq6uLYlRXZXcElxIB/ffwB/EaGxR
PVnThdBin1RF6c6bClJ/iqFGbNw7sKxIDrWVMLepUShnY/l1bH7yR8bAP5wUsCTCA0J34gsVS+K9
JJEN8UObV8Z0YELrix0Uy8LeaHptHAumuNquJRWvPYni/7N3HkuWI0mW/ZfZIwXEwBazeZw4dw8P
D99AgoIYiMEM/Ov7wCuzpCt6umpqX5uUyMx4DMSgpnrvuXUf3QpwjsljYJyyPvDv1ghuhQjHadOL
WDKbl4NIb6Ow9sFPrrCeQ49m4XmwiCW9wNtrTsz7yRSaUw36MM7yVzzNHpmdRBsV5xCsjtpGfUMo
Ei6HOd2j36v1TTGwncTqCT6jPBozxnI3Df487ciYSOxrZZnEpu9A+NFOVf5aXOVR5H4NTUK/JMRT
tkU30uhn5WPyWEN4ivkBzuTwXOdCd3uMeHH4ZDdVBDN3HtL+TBELfCNC/UNWZUqGq1DpsmzRB8bH
WvOI2pfJ2v6zLTeWm5aB6Kcia8FwlFVDSJbIBgcWAxrBKuof6fMe+sFXnxNCXt9KK7KfujoYN0lV
TLgWi3LvtfE96JdD3ZrDlIX1UxLSRBUgmzEb50dXyHEnY1kd0n64eAPZW64yXwtEJxtUNcmuLybv
QNYiEYrWCEB6NnwHHR4DM9p7YgKCo8BJsaFiJp2LAJ2rEWr6FnaY70SP8hWsyNelDfwTmEycXRNS
u7x8Zai0x4PaPvhAjfaOjUJQwozf9nbuXJG5ZLfeyPlgt0A2JsbWCZTe0bccxHuMwMmaI7CE3Nbt
VMieosKEhC4LHwR6uDwSvnRuOyaM+TKvIgJ5L+kuTaPQF3JY3B3OR9RBHZRFyJAotELo7SMk8Zwz
+5BE4qmyMqL8RgSLTP2W7Wx1/S5xmdEvlK5PSVqqd9JR7Zs6C3GT4+jcTXanfwVWW+OqGNQuomF9
JLzXP2toUsDgk+ns2TlyRPxne5oUF9eBV4R17iD9+a2ye8bMeXJCwfic9/ObD71yz6CYRl0P+jWw
UqbSEk7K0If1YbDaBH0YxL04Si4m8fJdkDbR3i6Q5ZTYezeiiKGUsW94yrU1PLSpjp5MP/Fc9NCb
zkhhymmBj2jVP02LfTXyuvyUm6o61VU0/BIG4fGaTEaHS4IiW+Yt+MgamcOGSnONp2/yuHuRTQRd
1OXi+Yyj20PK3LKP4GHKIlGk/fhFcezv2pGrrJgTRGvSOdtoHfZW0zUHpBbRlT80CLU43AkQ3tnc
4HJLR/NlznRoWkSGiRjlbjGu/sIIHHwp3p+N5fKdj6HlNt8nBCfq5MnS7XdVpEMCYhsnXDOhg45Y
0TDCXVvOg2+tyjPb0KRt85PWHKlNJ+tyt6DKIvyqmB4+oj8TMEL5GY2P3qP8aFGcuMx8cTAumwkS
5iXLjf0tsBPqSfq7ak8OV3lVPGS/dyZKAybQaQMTys+9G2LWgmcxyORXTHO/31IFIItUyWDviB2b
PjFnqn5ppUHHz5Vx3muI3Tu2aP49tkjyR+Ma8ypajWNHxfISzaL4MqCD42Ispz1m8PayNOyn8wmO
gCugJtKFYwxSkMdw6IaeKyHz4vYtS6P2e6sIKZCT1b6FrZufCp10JaEAnTzks20++4RgsT9sxnGH
najqdv1CKCqSewvZsC3kjqhBf0uIK4bqVcmGmBM5PxAFjdTYGSoCfTCyb7o8HUhPGNNlH/k5iY4x
kpgclxwUs23FaJC4h6xcr0FrvKRxkT3bVVZuEEyBzzIcTuu1jgU/MVQyzq6pu/BVAzlgi5z6EQJQ
kt7nEZbrxlbLbdNF0Y3IwGQgOM6Pws6D56Fz/WVDJdJeUOigThuNeqd1RygQzAB46dyq+5rgg8PS
T/IwNpOojmEYpveAX1ekH/Lge26ilpuKs0sTvr3IKhZ4RTP1Ta8B1GLRJOXmHO+8kPNxmeFZRhkH
1dJivlpcmo/K1+obBug1lDJYwI4S6oqtk4rv5E8Vb2thanS0aC/KwSyKGlF962al3xCQuPslDNvv
jZMizVgQT5KqByD2ktKNOPYxoXUx0QH30JEtwASIou+nnLRA6l1gRD8WZHfRxBMYKRtO+RHh3o3D
Y5nYGYykMMnAN2+wn+IXJjEO5mtL6sSLwpdxn/tN8kkFWYottG/eiaiTu46oViIGrCUBlxtRRPq9
54K3itrLrO1kl1r9cNUVP55w8ulTZBWsiymydg/bAIJTK73v45a4E3BsVOA1Bqx74bXlWctktSzG
NHF2wOQJpqnWxONkiCO0SGPZ7YpFNf1m4T6njQXbmyysGf0Z2cBhKvxtksyIY9Fbc5WTFY5ZoXDR
uVbZAIKt68Pt2PAlS9+WT1GnFWGqWfBsxUtbIisZs3uSqWHlGVHrt7IlyTBCUvpqq0k+EeUq7l1N
Uq5fOIAjxMAHSQsffBiibaHIyO6F4ajhY5wfbIz4v+wF2ak1CXi9NO2TJ7cqxPkDEx54I+/YgDSn
ZJ8+xTYTGUi1wrpgFDfZ3qoykm0Ubb5tAt4OO77vGL3BiTYi4LSasGYlXyq0MRD1nkTGlmtDskU7
n6sBQBO/nStpsVrN0hsIrjTWrOy+lEXjbCsEUw+WV9DEJSuLc40WLRvOyMGiehuDJWwiSLnMLqoC
V8aI7bEpnFeRrlyF0Tg/A4RBuPzdqX1ktVh+NW6hiHB361ludeH3P92oX3zOWci1rxSHJeBJbo72
KEk+gTfvvCy4GZ7izmY1C4Ph54SY6rFLsJXgLlTEOcxwG4qkfXS6KL2HWZYfu3hFX6w4EdYxPNdz
tGJwrLT73CLatx+1FRnW+EZW/rmZGw4eFvxb9sTJQWFWZhEDZUTftPN6BsJe9A6FvCOJTKXHoSwB
C0DdO7c8Nm88LSSq0DDNHwJh1EHVwnzSZM6jTcp+wTTgPxmlFGpC5X3zySg6CIUfXxHQs0PwXW99
jCRHtLzIuEAn7WSnuQ87r5qfnAqUzUcCZC2IqURHLral1Tx3sbgl5nulgKBbRpJJwGofF3fkm17s
PhsuRaU0HyuDe3sklTQLSWUOiG05TnZuIbG11H09+8lzAFrlHAMRx6qXExPi1AwbWzg4Zz/vLsM8
lxiO++GWDEN9U6dhfUmzekZ671ECxoz/aKF+jf2sPcuQKF7ZDN6PoRSXFo8BS1rEPzzT7usAXObU
iSt0DfGZetvezPbUfIvHdc7UdIeMzvK5TZqQaVlGQToUzfw5msb0ya6z8RBibwwa5MXxaMFYydsG
o8Pylf5f9UVWIdzgsGFr5SJQZaFnh7PFKCYy9F/SnMk88jZDYiF/roQ6oCBn8OX0akeFOj6ISNpH
IpLNc99a+E8QFT71hg/p/SREwBXXGxrT84ZNqfga53HwGpiuPOV5+DoVdnWkXZpRB1LKbap8bjYN
lujbHPPQlkSnc+ItzjccseMBnIyNeM1ZdlHeezsEtSjdVdZtRkmrMJ3n4EpxIT4XwgfSNjUHbicW
4AbwxgapfHyMyzj+Ncje/TzBfLiLq3hBtVCJF5VNBeSYWBx81q5rlZjy1fHD8BHoujn4IGbaQ0hd
iKtEp/uU2J+fJFOWhI+kXX7XFlwGeQ0TFvB3DcNNKYAdAlLddlKFBisOJWLp3G0fBhT0Ii2+FvMk
L+lYnzryRYqNL6ybBlDe42K7n0GLVAduxUMO945CzcdynoT9XSX85BPx6JQZAkY8S2CxQWueP0W2
Bg5aedHVEMG9xYQFeh4toPS0f0+YSoMMe4wdhhblcp7nZrjF+8BjpwLixQ0X1BeVTsV9WXhYm1rc
qNx3mgSdTWmtxBZmaMNtnHTFWwWd7Og7NOBprcFJaBdFS6PPLeA7idfezDSz2dWFQw5qSRfygu3M
fvJDBKxFOJ2SARZ9ZORtyVm+mnpEqCoanM4MeDb1aMg9GArU7eTGOBjS32Jmpuxzvuqm7rdV5i/b
VgUDwSt1Fm2GoXPeplnoc+OG35wl+Jnopn2nYi3fS1M1LFrG+oSE1jp44C73XdhXj3NAxVLO2mHo
HXerwz/JFOXQdBrcasAB7zWj2A2hbcJTKB3cuLUImnuLGK10U0N9vad902BHigpEkWTPswg1jl+8
V1VRP7ptVD0GOX3kTT6zgBbZ2P0ojWt/q0F4/GgTe1Fbl8TV+xYVANkxRfM8Czca3zQVD+ctZ5NT
AWziKWGRL1sq6BBLPKkvPC3pnS3wiQBK0pA8g8IFwwDir9tAahTQdMEBVRIFNSpumghm7qtfEmgP
0sylS95tUzjfZLbCFhtBNrhpp+QdNxabcJHkVrxVS2J+WL6yIK0uQxzuF+nXz6SisTCYjLjGQ5h2
Q3MQMbFHOxS1XB6Z21PgNHXZPGdBL31qzCZ59x2f18RqAjMRFrFchaI2l1HtzZ3cDcRzNfvCRy61
q1FphWxiJj60wPBvrvkCOXFn7HoAvjki8E0PFK+880JwQXMWI+3HXSbi2Tpa81oCkFvNT2IzFd8U
mY1lINAVRStSXs4SeP+QZLepT94HPWQEZBLYQSBE6le/3L7nU/vWA4M0Ci9+/9vB9Ad4ngRReE6+
XYyNMi10yJaCxxA0Ry8mJ8oDGSS39II49Lhu62cf/Vh9LPOCdg/KApwctZzkSTl0ge7dFoDWofMX
/zrrrnn2RxQVnELmrdsxafl9MvTph2hlywI9MdHix4o0zew2Hrrh1wDLlFvJ9VV2G1hO9iLnwT3W
hPx8rpw4fJRhTN6gAlv3MmbKzKeJNnxyL3p+9MkdbL4jVTnfOq8TTl5ARKnF/A9+5pZzwr1L7z+D
3OWBjeWaAwjHIuGaHzm7l3zDlyVlwQzmZ16YojzGvSanuI+rvDhCKXKnbQkOgnqX07mcavp/lzE3
lk1KWUdFh+lYYTgINE0UzWwFiH6bE5jEPcWGm4cwz68tDIQEx1PUI6tyl2kp77PBw6uwlpBlWLuY
jdEGEqVCnAwYe/vCTFqfxqr3Hqs0mm7QMuWvy5KNn8gXH/7WVv+PLf5f2OJRojn0fv/eGv4ftvgV
ZHn5qc3P+TeU5fqyv1CW3h8Q7AIg6gLtwt+0pn+hLH1w9SAWQ+5vJtIuLd+/zPHOHwgAwnAl9tFi
hsbwdxWqF/2BxmrFNMTAEhzES/+OCpXxN93+/zYgQ7u8Toci8gwjwkyc383xbqthNfe+PjEqy70t
wYj0ByGSySt9KP862Wh0nhlCJJfGxiJ5HuiZP2bKGqqjLJy18NYDG+gMb/s2xOqHz5l4aldNjFzS
ROSP8WCg8sjaw17VwsrFNXaXSifzdlirkpfJrf03+LVfSwdyNm/1gubQf+5kszyCSHxpVIpZtAYq
t2mCdc/gOyHmAUDgt0zw2d9EmL2fMLGANFOd/RZLpwiIlcjdp7oe5cXooQNdwVwvULxwDFDwCz+c
7ioe3TvHcpynZMHkWhkr/kVPhwVTNR4l4FAt+pwOBcuDQFf61RucDh8SgcXLqqv6OFCg3aKdDrNv
nH9CeoB92ZvRGfTZl3qJjgwl8UYVVY/OqhDb0Ot5ofFHeudurehDBhXF1+ehIEhlW4NiewurbrkN
1BBvmWkSqkwG2qkbjT4PVs+nO+jsCHpk62egh23HvGFTsTY9/A20FTyTTNyWky4iYO6uSq0vfe/5
z2TeVBUpm55zAyQqto8jI/RXns90Cmn+Om8k/bHOycnm3coqm+4jCE2/WE3i7USS60VmU/bDgvp7
pxDQHD++n1m/FVc2DeeCf55dKEqAXqploHUf1uPB1n19BIo3bJtILYDQOcgmmhH+L0OfbcIud+Ev
Oz17xr6TcrwJ0Lllp6R05HKiMtYeNuZQwoCix9dgjV7gKFiNvCwC8KoWDPG6YoD5SzLKm7JQgR8c
NUf2kUuFYISu4lqIlLwUPT4ePj1nh2mYcAF29Z/pt5Sv2vLK50zp+Q1IE22+2otfimWIDpnnMomG
qO5dar9Pr0krss/FrDxEDrOPN5uTTRqKhKfVgaEfVr1FQfMTx5Nr6iMhvGIj/bYb2XN22C8LtXxZ
iFo5RsKALShd79fIPlxt2R5WZJJ4C2PT1C1yeQCX02V3smx4r7gv1YGhoTu6W/E3ns6gm7DYd6k0
T0kVz7f5wg7Fg4W8Wzo7ua3o501Eeo/REdibQ9B95r2WfSSPVTRZDfivDMHgxAYtOkrHNs9dI978
ruxvKt/+XEfTXGxBxY9kYvZkhu8HWd5WabJ0W+MEwSGPFhJcQlfREsdRmdKXdjd5H2lYomXzYIKl
ejSWFxzGea4eMAY7RO/VkO3clskG7YDTgsBmjy5huWRihV1J2kLbsfS9TxPIHQzvtCE3iQ64UVcY
AnmN3BhunXNRjYk81N0A3K7p6CTZSUFnfjTWsVWeue29uLifSM261tboP4BVc/dDNnT8xdAAOkzJ
Gi42EVyomzJu836H/j58GyhUbhMHPd6si+Jn3TVnPXPqF8XEpQ48hhYFlFFCYgqyLrc2r2FuEHPT
WwWErBPi5Pa5xXFV0M1zsj0bZo/dj6wXmBezDYiize6ggurLYqvm1Qr8+QhAjoe4N9NwJm6VjtS+
nhdHbYayEzsoiGbv9bXvcCsz+qK4Hm2gksF8HfFBPmbTYj7H/H7vLJKF4FpVNaHZYVrWZPkWGCvn
gPBfOYKUx2fIVANLFT2TJQvpv4Q17RJdutlLEKb4vqhN5dbVVXEdOjqH20FTKNuFy4AOu7fBxzZM
x8zGuTvO1ddmsds93DKXsrsN75q5p9tPQUP96NLgjceJFHSUXh3O+2jRDzqS8hLWeBeakcXcDQZW
JRP0yZePlaWVHX3oqYLx13CHsp9FgPVxFymkBs8Qh7lDxwqapWWzrA5Y5Fk1Zp4wugnq44THlOZt
SQ58l47uk+OvH9Rl9J0o3fgm5SCX29EeB0YzoxXXdzzt5zujZTPvmmZBR9vXy61GhHf9qAH+Uy79
i3KJ7cCqCPvfy6XXXKd5nTNt507Ku/n84//+nz9f9Fex5P/B3pn3QQdFPcLz8e8gocj7A7WuCGnb
+vjOKJv+Xi158R+CdpZj27YX4D610YX86dnxgj94N5A/PHMi13WDf6ta+qAi/UO1FPHxHgVZgGcI
98fvIGWYENAg5tQ5RdFcEyY9NNFW27G/Xeq5vclR2U518j7XERTUPkqzT3avQAeQiwZfIu3v4Cnk
QA4G7wCQyEn2mtLsIZtTdWXoUr409cysGC42HazuJYF5G2G7bL/anpI6Z3St00+AwOpXtwsgJlYj
qq3BtfQPhIgw91ceGtta/2ttt2zJJ9f4X+l785dQv8evXdBYP+VEW5wkimr6yfQ/DgtQyWK8I3x7
rysDZXEqrja7Mx7zQ1K/0LVPmVrRVhd3PU0nhyWqsV4s4Ss2SRlUCZR5a+KslgRl5TjGkT9Nd46e
CJ+TWfReyjJyrwY9OYeFwC16GmN6Uygke70MiAumA9jsEwob/4D7UmwSI7+JaqmvKZFyGz9aMKHT
GH3Than3WObFzkJqzd7WG1/J75qfqsZ30rMwcOLIJFIPydolIKgtE2cbodGXzpT5rjcT8y3bIEZk
i4qtexna8FWZnGZMGNBm2TNVZRNH8xfBQxKnkJbJXOjc+5b+U3uw/MB50W1ExoMSTBiJ3iDnMxXR
zUdbmRCH9ShTe4LCbGLnhQ0/+/LZHZ0XuBM0iUoGOWsvtrTXyMjOuTNo6pkrdQbnucdCVjGhGmi1
ICdlE4g0HgDjWPfN1WHF5iG5/rF0UOptE0UKwqZl+wu4O6t4DW5USa4MvtEvlI1s1/2uSl4LOpL5
1u8BNHY0+POVMMkYNJ38+DVqJA0CaO7xq9NDPNxo+IMDl6ZwXlxaOSvikxDokRiSBRMCgzJg0P5X
2hnsfUUXwS/Uk1mucY2ThWkhXDoiiaBFFmLhB4Vrr529hSiunQR4ebGimS8wOi25mWFacHQ/CNMl
6Q5E+SaDrHb+TFW/i6YQ9FUERcG9S4YSA7vpEjs9d2qAP5k2RfejKBrGD+QIMlSe1rcFegyuE6wW
JMDGAsk04Ma0+R8iWpMM6Qbw52jpCqLgXMkR1OOalbowGj5/tN+nKeO0LAZKbpD2sJ2ZHjCY7V37
IcqHAL4lnxiEvZwYdNN3GkuHa7P9oOCRHp68jlqCqkZ5nIY7MbrDctTaEV9tGE7R30jRgQ25ruUp
N2xohugT/ClfPKYFxAnptVlzzr1cm31Cme5tmYiuHUev5GfNFUPFLCmDz6IrZuv141tG5dKnp3IW
NDqx5/JlcQlzlVnsae9iXZJ4WkoDWNwEI+dZVkO7PKOhR2fSlOspde31+EQFs9a7bo6baxyYhuZM
w7/H8wq5jogXZyPV0OqXDZJjYpho5oVjyQoVFq0+icp25gNK5/LXsiDdxOVvrdeU44JzTH0rqo5N
P4wA7pHloBBXctpOoezGXRe7y8kswfhkj/T26HYC9eNKA5raYK7hOq1xYWDSVDdd1G8h05Bl6rvg
ozfGBQ/eV3UKWkeb8A4xHRKvFVTLycQNzgbYeWIM1sEq1UC4O9GbBPYTYOuBq/hYjFF1WNiMg2pI
fWIVO/O9sDyH0p6HzitEy+k5CiwaXq7mwnY1ABhkDo11g67V4tfRt/M2C8wis+0IxfTAMdSm3XLI
BjLSoNmdRlpSjLfJPNo7dRN5e/K8YDe6RpKcmDKH8z4g4vMKXtb0AG6CviUjNHSr8X6EIbQXQ+qS
Ltt5zCHahJyvSgvFbDz3jk0ZZUB7eGI81o6qn8qBWggk1tpVCmXmfoqbJTxYo55/irDyLgkQ3VMx
RM6PEg7Ga5T2U3igaVXctDrIf3rYuF9635+pI+tqjzSHYUNufdKFpV8zVxjCfmSHkCaOgEg7WO7p
UpZw/2F1A06oD9Bf5n1NLfkT8ZLkDhhLcyWxLYSRUIQzrIsl8b7MWOGvHQIkiPBu6Jx78CC3FeKK
nT8ikITb2bnBNk+W8MZP2ztN9/InnZNM7KFADiUsj3a+1DAy7uC6MMqy3GmP8RdxKYAj49yUktX8
cRFedh7s+NgNwXRYBm/YmVaq27HHviGtPnmoB81qMoebOrdU/+TU9ZuXjqANutgsjON6NBIKkLH7
KYFG/Er8rn5GQ/SQ+UP7BJKIOIzU0C+gbfRch122gWffRfctttdTHpZqb8MsfUvdcYImHb0sqRt8
7g0anWbyG330x7pZg40Uia6DxsGBuug0KTBDvXIfjKGXHlQqgzFrZ/YNNXO5nZO2sx9NtipS3NDe
l4VmRlxg/ycbtcNFy/agtnfoiMf3RE1VSbpP7xeMfDAynRDd4tGyHFHuB69ttiBluhcXGd6X3I1t
w6PQs+/7QvSbyrbUeQigj29Hr3ifeLxfwZ/0d51rv48afoUCwQYfYZwUiBJCgW/Y7RW7QcTuM1pW
cZ2nwnmUTtD9GsSk32ea4O3XqbPL4RFEa5JeO73Ic1rKGr+FfnPnJXnMMifZyRUfRik43TDKoGw3
lDRhwHbGeNa91h25UK6XrmOz6mfZQYVrgYsjzZndxyLvhi9RHjD2Z17wEKvYh909puFGojJtGYKG
GPWsRN7aSevWu6y3rUcCff1dKHqouFUZojoLpsuqC35HoS22fqMAVim4wbZ+pdOP5YMe7M4U9hfH
Tc8F+Poba/bF2zimHrNdoClbB+/IHuJbdjWpSO89UPS3fahPUc9AR4Y0bzPbIb86bNQEpTrrBL8w
IgwuEwSlpsrtiamfrbsAuviRJttNhUT85JbO56QQ4SYtA1jCbiPAvzA6AJdc7hyF4M64Cvj3FEDb
8+Jk2QFXCxjU8wg/oFmxAam4ynuMmJQ8RLHunhstmM7qGsISg5huK5fpYIXdcEu3z2eIn34K7Na5
rnq/nePBc0yZ7JLAXFXPedFA+CooPw4uIs3dhDTJ7JW9xux2gY8qymTZQzXRtJGePb/YdAWvs/FW
jx8vHNCC3bICDQC0DAGOXRU/ep09HFXdZ/yrK9TVq5b2KfOrctjOtRkxGq5jm2xsaCKIokdkF9g7
nQRn2lnRTSPT+ZNtmHDQNOhfUVy8kbucbH3ojhQUZMB9GhSEzdCsbsjWeKhvquk02SlspjiLDkEf
cB4IYB6DTYUSCAoKNBuNDDPzuRMqbONqIq1Q5D1PRxI7oEWGVXkENB69KsD+m0FN+jkpmvDAXDQp
9jwOoeYVxAgS1yjJRSPRa9LOU5asaHBdZAKVVUr4r5iFB1Ry7q+TFpDcXBc1I6+ZbsNqghASst78
KFrs5GBuxj2AQ385ZXFXflcIcU6xjpN9uZZWqjIkXQ0zshzhVOSarUGJudWqfQFxFF1p1N+OyoG9
Mpfd2thB94Mj8ioL4FQLIRfeJ55v8rarSw8/RMVu/KHo6AIb6TdPPXj94KmMgZpufQsGDU0CyoJ6
FN+k49rpASpdzQ1kUwvKwJH3KQ9ZOrjTDQM5s597GU/bwkTJo6EMuHVhSLLyzl5Kl3PAFLZ4ZJgl
Iv5CC7J5WvC4gXROM+hl/XzjG9+/a6HVIJptW2vXN35/8Zqyu05OSyOtztEr+Z15ycbq0o7tVUXL
tGtjtyXArDHf0VzYx6Fr9QXTUHLUafRKocb832gGm1o8FihQyI4bpJQHguXT8oJKDa1xHi8LcfJC
r9yssm6KTcU866n3bPVtkhV5Myx54KbA/iBnqnsOCJD6G9lrq/o+D5N5sOJ5gY6KnGafqtzvv0Wd
elH9XOMu1nkvEhc+OYvbOZkCGPNe+NQ45WcFaSi71iW8qRtMBF+7MVa3sDiJKoy4Fs5yzIlLXoqZ
dEhZZOET3BN6dnnFnzSaTETGD40yLZNCqI+o8Hw1fl4y2AMCBVAaPqSuah94+p27iifoePpvO/n/
hyb+N3cLYwQMHlgDwfMJBzPIb0r/NB772U2pa0OtBbkc7ET9PHNfljlEH6adf8l4+U0PzwcKD2cL
MsLQxmrxu9kCjOGM4daA56l0fNOhK/1iWJi/SqurMniK/fcMlqO4S4eo985aB15C4rljZdVt4RdA
rS1u7H3Q1kLfV3oNALIQxl2065B5QEud3ieyi41Y6oSyrVpjFFLbi9nQi255dsnW0Pt2kvqU9zgf
O1X4Xxt/GLtng6TcHJbOcQCb1dB/xPvCfgJGfTSxYUtB1VLrp+xFJCvGSwVQ/MtYzoyds6X+RThO
/ezFKRV99xHoErholWxiBSa65VNorWunzQbLsZLHxTK9oWXMxuH4wQOf+YsaB74iyUBnTjDtjRM1
Xz72wlXQOv+CgfObx+hv3BtBp4Y0W7wkv7u5JBVyAsyoOfnzul/2Cf1gCu2UbNf++dW1Xj3/OKTC
wLR6mSN6H577+9UVYRm0QDc2pzIrOcUqqqp9V7ecn4+ACINiYBVoTGxC8GaqL//up0fYPfBSA2OP
mW7/Zpgh7MkJwcc1DFaU+xKMZLzlbY6mql5jKiaLTw06pMFba6zYtv3zD3d+cyVzkCEMwWmJcVx6
jP5+u7OYKhN7gKjjBMqPdx/GtBe3oWzdl7owbJsxL/LjBzRg1z8Z6ZrJOF6KNCxPqZicl48v9J/2
5r9ob7Jz/udEonUafPtzyr//Ayn9z5f92eAEKgRfaG1xxh+gdJtr6c9pMG3LP2yalQx1mfrSwuJ/
/QUlCnkRO9d4dd3+Ng5mUgx9LcClEzM34Pb4d8bBv3MncPzw8bRX6aeS1cld/Y/esLYQ5TKmdXGj
3T6fv8LygNRWi7ATezuLLWY5HqDfYj7lXmMqC9ERGju9ZdtbnxpUTsfAMvMP7aXAUTHU+Hgh5mG5
TnUQ/qRHQ/IOaCW9tKeatFxYk6Amx1k8Wzx7I2rToadkJdArrBEZ23MahT6OkKXI4nvUhl34ONBR
cLy9ClDQzs9ejWp8G4y4/b6UbD3zmULIoqums8YGy5dj18G3HZKcO1T+vMhNuvhyym6CAbB39JyB
l2tGOBpkYRFeWrGyA1ivKate0HsG8MoKKnQesi20j54IpyFyqy16mNq+5nBw+z0jke+wIvUhbNX8
4LtlHW6XeSx4aTBby7uqIV7f/ucG/P9BgnHtR3T2//f5wm1Td1/rfxgv/Pmav9994g/ayQFrabhS
vlbf2193nxMQYUAcATegY4fCZfLwlxjjnyQVCHQamPEgESGoDSh9/p27jwLmH59z+OrtwOHCQinC
9ON/uGnV0kgXHXl2HypFzG/5wUcfV1Q6sSlyPoV0betDL1My5Da5p25Tt4S4kKfZD/NBbA/Tiuls
ZGeEo2VLC6K+MWHwfdEu6ZJ1HmFNXAnxTSt1+TlfsfKNWewfBZEajGnpb/Zsmp1w3lUfYHo03s2n
sOtCXEJtPAyXiSbleKvJiNtnnZzwibjlvJFzIG8VVLUt21wYUbN1Y/ezokW88vWdol7cXTvrd25v
vXfdrDyLYSIAYF45/VRxvQ8xBu4t1iFSnZOx9rOtWMn/tLfGc1/2IVaGHhFEU7FH0Hk9PQ6tdQSB
CzGURIFxjRbIrBJsREUVwLeal+Lz5Bu19dZwAii/N1ns5MTsLY5mhjGSCYGlpCmLiVIKfSidDcg4
G8LdtIEbnsgFoH8gOMr20jsPOezjC7J382AUTpzr6IT+d47IfJUmLhL9sgRqOXdaGDohoU4nuV8b
NUqMwaSOOlJZuXcnd7xtWGBzUZ7CcsZ/WR+C1ezjQOrFGOWdinyilT2x/VKYqq4YQmq4+lvHIMGc
9mMm+yKjR5/qCUSxU0knJiAeG0UOMIv5eRzRYImsMFQ7xYDty+C5KGMMOseyja3pR1yHag2Vdswv
XIRM3u9AevmV80wUmXMIujykgwwZIHzDdriib6v/Yu/MlttG0m39KucFsANDYrolSIqkRouSytYN
QrJdmIfElACe/nwpuU+UVTvk6PvTF80oWSKARI7rX0M4XcH5JJTtzR/XRyORRguRU8dMhLWzw0b0
i2U13e6NRAcHTd0i95w2JsmVdMu5aLaL9uw1qBudghzGIzJWhC5ZVoApp7eA6PP94I0C5jk04m0W
dmkdlXJITkEw+IKjC60d2XkQH4C5IPKUzuIeq9ns9qu2Im7stvxuDxIZVvjmXNxpE+Phzc+YslVH
amEfWqfegYohHM54OaQ96yDq8TnNBaWflQWOA5u2UW6QPD4nnTAvwWirfTVjujxp+2Wfy12X2pKZ
EvX8pdZWzembazMkQx/htvZyLmyzuLStREJkt/tpG6C1OU7KdG8yPHrJIRhKceVpr+g6Xk3Oceay
xXzohXvM94H2lx5LdC4p0tPtKLwrttv911R7VKfarRq+CmCJdrDGSqw+jZbfPsLnvnFr3/2ie/Zt
bPXmFppZzZnGul4BX0kVb0klcFqypbLWhsbktObfyF7N20b7bXM4XS87KdRVA4B86EnhQmDnJRd5
PhUXcYaXLyGi/Q9bFZhSYHZ5xgYGg1UnsK8I0XtasQGvtR84CJt3BQTrXrWZNA4w4NVfrmw0i6SY
1RW4tf2N5XdGM7usDSBqaTr3ni1IjK9752/DD9IqGmiNfbFiYT4CdLAVD6Mui3uYFuMiw00xeeLc
OmpOI9ufmu8iWJIHNxeJifKic18H7bNew/DhO1rjWAaw0h2nxYNvRC2jTK9BZykJU8hzwMMpJ25Q
+7nPhFWhPICksBm9OYeimljMCOOQXVphOj7AJygikjqKBzAeIKi8uQ/s5SrU7vKu9pk3fG05H2j3
+QDcLKRqUQY/Zm1RH5ZBdpjipv7hZ2a4Ld9M7dvKRGW6NELrFqxj7OX3Q9UFBPdNMz4pi3u2DKqY
AK345YfaOV9hoY9prrWlsAuyCQKUkQYJqNaMpvPcaA9+HOCN7awskW9n5PHfcPUOt3h+rffNm5+/
36m/ihSPFpd8Jw3EFD0I5Pwdmv60m2xn+DspFMGCrkRaTYTWxSxs56tdr9XtqhMGJp01sOjUAUvn
D9h4IF/GRH2dfQtQN+op/sp90/QJxq7EGgQtDuRiHpt7dGsNwJMOQkjz0dgIa0j+JpLDPNRT7X9z
kGUa25WutVt1oEI6LBNhdDpqodahCwHhGxisT961LdckYkQ6e5FY9mMiw/YyUG56asKuvcNed9oO
0pxoWZ3+gEh8OLtTAt0Qu5EUJvVSEshjkR0Rz2CkljXZREwvyxgJW/6sdPaENTdsbl27uYaulUeG
Q1DFqiMrSgiDWOmH15T7XGjNbxkXjmcU16C6RGroHIxSJ2LkPdkYvk7JMJVFYAa5ouG9COfhMAXD
fCRPNYPDiHg0mvD9v+2mtvirChv5V6LjOeqxjJ9aHO4vxxkP7FQHeiDIW7TlUI5TC3EfMbJenFlq
itiCp23QwdjmcETOAMcl8cdHIUziWjPceLZG5iLX0uEjqL7MO9n7ibMjtqQ51W9hJZXOLXFzsoPJ
GEWMGDTCoR0H9VXMuIK7OvpkeUtByXUgiqWjUWy+n2RWnZySDKmKPJ2osqxufzDFykIf1OaIj3zS
Z3tPp7L4Wds+oDqnwmNQH2T3HQcZtV0wfCpelGLe0l7+/+b4H5vj781YD91y/zPJmvqfPBra/rOt
8WOdDT9//J/z8DL87P/1d7+2x573P+xkHc9FoQZrASeN/2yPcYD4HxeyKigEkVyge4AQv3bHPgdQ
zO1gxGi6DijdL+aNBU8Z70Is6LAQ5Wxq+//N1viD9ZS+IpByyM7YxtKZFeYDCgLxoastVbg/0UMN
AHeUPlpATlOzAp5cd2yLF2F0AG+1XPpFUFKYXQwTjSY2X5O6EzUd154L/4SHxkK+JGdZeVAhMdXU
JSogHpaR2dUa2SGfCfLyPHRAUQLoZf30Z7hu9zjO++ULUFgbf3cq9A83iUfx29lUFmz/MhIchKvb
1DJJJN0mpdtpx03lVtUV+2nJLSdVZS2X2GLX+d8GMRf8zT9e6f+Cwf5O5dZZ8mC+wFP4GvL6YIf/
fninzJ5hLp4GP2PV1Lk8DJUoxaEUU9/5h7VHo6Uiws3K7G8EC8SB7D+//AcvIK4PNMFJSJAxzJvi
Zn6/PkrfoOeAk/3ILeKesmhoYH/pZGAq9/kex3LEztsuHRKB65HAtr++Q3Oy9DZFS8gAzgnPx7ov
CNyRTgeNwQ0k//b5TdKF/4EkCjZAOE9ho8IhS+CP6H+4xznNDBsbEOKiKExhT5esfuLLPUYNA5af
NeVG7xnqTjz8AcH88G70dUUosH90TcyosGr/vW2A/xu/MZzgR7LQ5zyqJkS/fk0pBhCpRV7lmN3W
cToM1ApTWFLe5vPH5pz84bFBZwGHoNZysmQM/X75xJ0yw5xT54fhl750IpcdkfvCQDKGIwwPv7zJ
DKuxrnVK10jKk2myj+7TrKRRPr+T33F7XoAL1wyxHnaxnpb/f2iIAVNAahh1/B2aFim7F41syb7b
GXHVh8vFEnQzb+XzS/774QPcaQHdApMyRfgR1EpJrywhunQ/hKcY5fvF8laL9NFOjbhx4rQmPJJg
aHWSHuAges+NuUzsSaYMVb/6Q0fQwYq/vwpyTASjhIEKqAw18cOrwPPeDdvBeE2zzq+MAw6vekAg
R0j7BkYzBCoRZRW0Adhooe1wV25mpuO5ar18iWrD6upzWGHwUG8ltAL7Hsle3b9+3ma/I+7kQVoO
1REqK5xktaH2h7lkVCSFmcjQX2e0nnQCcyxMGsuE6OYSbdU5k3EmhUvqQUPwiv7IEI3/t41lWZ6P
kA9/UVTVgqnt98YKpE3FCnHHa42CkTk8Z/ZaoV0u5gAR34ld5v0+GbvipcpdpKhRhxTTcg/o/o0J
o5qU2VbP/Ng5IpzI1nK61GKO5k/+ktbHPma9uY4jzEFFA4zzEaWfHVW3IW4kr31MbajakR7SluOd
XIeshT4tF8nNGRQ++bdmkRUk5KBYF+Os2jY+9lC2MEPAvtNcLqtUwsvTQR4e6ObomkZ5j1CEsDBS
vcKZKdE28sWqT+YalnxrkcUKD4XP3/+HsgMzlWfhEkYIJ+5uHimcH2YMemYtp3pqnxHmuYQJtSbF
OLmJ4zEMoTysxGoRF7S8z56gBfzb+Dad4DQX8E+zGhxPorJz/jygxcdZ3Ga3gXAJEiHG5EwkH7oF
wsK+itOmfW47RpHcOSSdiWt8J7GJcnoOjHITQh5cyW+fF/g+mFYoUoeY8JV3n8g1Ng5dBZ6DBGTs
vRsoJHqDgJ64KsOLYnT162l6J6QLLZPvTvctMt71acWVWRVEpFCus6OM1ucFNXUIGkDiSMdOJKhm
8vg4R+QLH0BrOFNsW7dHPg19UL+7Yk4yNhjy7fKkZWH4tgmaOecrGjYP3Hlm1HpvMLRuVbzg2AJU
vQ+nzprOwoG3ftUBw1D2L6sOMNpIYmgNlHlU8o0g9Fg8TeZk0cn8ABj/b5IwGrYon/eNj1M4rf9m
HRc4gjIFFd/fByWF1DqxCHF/JuS6Z3M/o2+jXqmavMHCZZSKieLzK36cjWxc1ihusG6T6UE0w4cr
9h3EXVU56puzwm4i2WoUevqze79g8fYm6XrPce6sdEIFm6ZPrrG98+mnn9+G3s7+Nnc7PvxySpGU
m00SFP4VMICEWuLsVT1Voq4GFGfN6Bo/G5lKZqO06Gtrh3Npk91NfZAw40DmahDKB0TNIJ71IU9O
m8FO5GUZB955droSYmOvLG+6H1D1Z5F0kdle0onwGM3xxaTgJ7Dh1IM9NemHaCDYXRzjvBj0yJ+E
69xCe/dbnOWLzpmni8+f+OO8huFyYGraPDEAbPH/ZUZceHFaK06Pj9PI6S7cuV1ns4lFOEO/xatO
CGJB1Uy3nYvQ4SOBNKWnOq/VXdoZc2XHZ5gO+oe2zFZCpQGjHD1FSqTFFsSXCRo2NlaLVmbEqtJ7
aovkdUanb0mG0eeP9MGuHlAdjRrLJrMabxCU9cNRQjqI1Jq8th+DIXUYW0NLtR2fD8ireui+jWPo
scAz+zid9RBnrtRTSgdxrXgxUnQklxb6Hn4EkN4XL2WY++KQKbKi5EYuqvFuYjnzWxmWyXzNovkD
+8LwoUe1MBqdHkykbnncPzzah10mjwYDQ9gWQwVzVV0M/M2gd5gLIgTHZnl0kknPVEMn6VpruWbN
98EMChtonOTJ9cm3SZ4tCI5tMAZBLg2vZdmtlQc+sw8dY1SP7FI7mgMmp0PvwyqV2QTaZEgXE6ps
9ew2Mm0eMgKomNYGdiRcELDT5L84Y1k0BQmQNAXlg9QYIkIJcoZESi4t//XePnoqLCjo/L+az92/
3Rk/jFHCKiDOs37h6W+hvP241bXUKjwMDoyHqfIbZof37a2dBvOEVC6wyU3707TwYTnSlxQOG3uT
ZckkYuHDcoRHMVvIdvYf+hG3v5dhGQY6FGs/7SPyVjQuRQ2jodbgAWDT4CXSCrYsTHq0kkIrMdz5
HkypfB8PImAyYEBO913Z8FtzZTDwh7lmofr12kCZic3Ddz+oGSuMIv068D7QLwKvCouPcMnD6R6L
v4Y7cYuCtanwBn1O/by1RfhhP8vD60WASQKrcnZBH082bAd7IzHn5SEldxjPDIJRHJSNCoHejWev
olt2Mu08UNIQc/w83XQdeWAnsxydGdYhux3jsksqQ+iINB/uu2rm5LuZleZBxUDhUNbqpvxB0vHa
ofXwqu5FoQ1Tt2LCwAgTFAz+dHQB+8d+3CMjCaabTqYxdgVeBbB+5ZidFW5rSinEeM3D2GH+MAdy
xbkBQrCYsb8oJgbDtHaKUK/ZAFbO99AxRnH2SIsTCcI/a1TjRQvui2inWeJkOA6pz84MkUip1pVj
LV2xPc7FEmPz07e5t8c+IoEeXhnz+oD3q509jaJM4q2DqsSKFs6nDS4fydCHeCQBskfkdiQH5DPD
Fg8stV7GYY0ztqWs1N6TGRKk5q4tmko8LmCbhQHX25znh5lM4eHa6IfauGfF8McfYG1e97j6Ezmf
iJkbK+2/hHgKaFAfdGNP0SNAdhrCZCcL1+/WXgavVpUH9Y/UbhsNRHvDIn+G46CITaNE31v5AZck
6QZbzgFu6V3ElVF4N6HlG0VxQayr3ZfpT3KGHWSn0UwIeyeu0e1OdGlKbtjTfKHwOnjmrq4FPMDj
GJKJXV7hT1OgDc2nZFDUmtw4ybJ9LCo1uvdxbTvy6OXYQgZ7+oqHj187rSbLekmGoYL2aghPDrCf
O3hxR7jZRHZfqKxitSFXQQkm2KnNRvdrY4ye2x/pHMoAUXfYtlg3Y8uuK9wMixPM3m2JDp+P4f2H
RpZRWNtABxJcbm16IV/XEXohhkhe1yZaxmRQaaOE6RYjaqMa71HohIL8Nm2+ZGQ8TuK4LCovc7x4
Zhjlbopxxu2Cn0fr3xEJnKtyT7a8YbdHGI8kKNwSaEpc+kaGocYk/G5w0+LJx2TOWC+FKAn+2GGk
zJR9zawtU5TITtz58PGhI1nlXQ47OYh3KmciSLBDtBzunSlL39IyGSUcBwjqSya3ZlvkHc4jg2m4
9Vc7sWuuV+X4Aj2OmPMR+sE5mJbFTytjBYmgGOkv4f7ZsmykDPWeXuAEqA8GqVUj+c1TpVvMKYeC
D5LuBuNckyrOPEWhDSZHhEVTQwfAWcP2cNXqKn6vfX9UpEUrzSdz2C8+a0kfc7UytThkwjbWr8dC
dWW7f1nlrNu5FmEOlmSMRserMGC0k3EsJQcaue+yjJ1WpAILzz3CPVIXQQ9dfpTj05CTNlDTXnDt
mot0hDY7Xwe5r2+ZkmbXrmePnqWZnfyTfI2NWXcwryPgbjpR1+ZnZHfqppkmSDkY/OA8p7iHqYaE
hlvf+/N0nePIVwC3lJ+5c9t458IVcehEQoUAQFRZYeeZCC7eek+89iFf6eeGfrh4WN4aY6TXdNGv
PW6Id4r+L6d3i2tsOzvj/Kupjfdf/08jv/8eSIFdXPt2W3EDVm2k02uReW3WXRDVu/DQEpcRrpVA
rc/MMwfwhPKH+/6imhXiLLWcgQjV5IhF7kKuolVoxuVtWI0NrYRPUMmv2LAUuCtgDnzyNsQ2601v
grKDH5ZIjOUrdWfdgjBTBR9wmvUzpTaGomTrNLjCWocFW3L+zHx/te/dw4uLkvbxYF/z4fqlfvjZ
W1L6aWJ1+jKpSD1+uFBx8tNHhNxiHE48qaOb970jrSPiSfbfNtEI5o4qac/fETDi0Lv6IdW3/t6g
xqrIKoXv6zTC3xkmtNv8uBITQvU+0YiWuVPZiAHUFZ6FGvnoFe+XkA5bvlpeUtN9epcdKw/fIdr0
bnuwbP2F9qQ/EPRAwMfFwtTDoVpdff/1SByyeqTsi2PWnmIk35tKx0qcQ9EvvjVc4iCm+wquM+Hg
X/xq8jCfOm6HomrBl7ACNFw8b7OCdX6y5OqZj+zccoK/W2kMdRaZfRJzcTdPG45MQ9mCbZYABkA2
vCYcPfwm0cN5ZH3lZ8UyenmwL9gszsvJCfsS4uMgGm0CVFLcrCYUmgmwoRVakKJxn5A9H2wa3fKm
kiP/v1QYFD27VMGAiiRYfnkzIfYGFFBdztWtNGmmJw8DWk4B8bLqvq8wvgYknh1pM8MEXYprwa6s
WGKrHdnMcdgfoeF06/zNpE7LfJOUmCYXh19wMqEbaYf3cgpju/2+iB4zlkObpzTHhfM2ZmSDZo7X
HqsiXp+clFyn4VE6KlXeAS9B/egzijeayGnnteCJCkxf3Z1HNjmzHNwO3XzWDM2li8CrdBd/x0+x
8sKgemON6CYNzO8ymw+SpXFW2coMKNTYZOUKrhwKu4BBB2SB1+O101rYi229xdJn2Mkde/rVO8iy
Wm7Zxfuxll1sH5NYrnzH+g69xcRNgRpKVxTgpTGuUN4zPptFU0cDRlycQytcHnjSQagMEB5V1sBU
6Xgxfl83/cJMA+HA8XTjoXfSUIE9BgVYfF7WCX/eLSS1QElmexYbJxX3XZfdhE6uQcpmZMKCfBo7
3vBFAGMt8W6Oc2NJ955q3RK9WGPAEN/4gEDes0gQ2kkSDlTIy18NsfJUXl3pZaNyY93mnd1ZdL73
lsyHBiTayczMmU5qdasYb6d1VMYZXscAqrC2MvSemW/pX4ZqV1ogF6Z+BhJuDSZ/jpcapSpJntFY
QFg1qn32wiWV1itxOl5543kw9eK9sJt+MP4mhiSf4x0rmlO6m74E/zaigKzl7glEEn/zB/LU8iTR
AVVOOt8rn72N/BFO2STtb3CugCYuumKcqhCWy9oXT6sYbYEpGqvDzGEfegx7St93w9HCdCKs8tCO
Jn5o4BnpKypT8/bXk7y/S4SDAMToWHCI4LHephtsIvX8Fy6Jnk3Y/evBizWy/o36Db2HYqJ/Rhgm
Qo1oIUKPjxhfH36Dk7uubWQlArHmkLBbjG/WYbFQiTBQ9agkKVizm9+7LHtKZiIYnfqf3vFwPZ0a
SdTNKHT9jWV3ZnA3ppiXNxvkZ6DnAjVXaB+VrPUoT4xVw4E9dSI+BNuy4ShXk/5N/ZgXDG6p77zI
qDQ+/7qQ24UsaZKuYpzfT2x1lq9+oemYo/hSvE9YxTvQKANLg9EGUUP6HtELCrGtkkoSfJRKbzTO
Iz7WPPOgqOJNp8xO9DYuRZhmnP2p1Lc1vg04/GRYRzaxO+pB3tq6zLit1az7pI8vUIH9F8SJqkIG
VjIa9+8NAg6sJ70i8PQWS/QoIy9T28FQ5w/A14cDPVgO8wM9+I0RjMXKhwN9OlBDAK+2zygAPe7a
T5KZ0aCty7DoFHoE4XOhR9eUSX3vfzjd/Y536ctDaoSBF2o+MAP3dzwBS//GUBAIz7+mxhwMmLvg
HMBI+vxSHwB0RhMmWJoZDWTF/3v6WP+PbCEMSyTsP6v+Tx8xixnDRtnGAqvjkJoVMzJEdz7GDCrJ
uREooFzkFG+T4+f38juEoH0dQIUsHWdIOZx+bv9+L/Hk2MC3eXIOqap5zxn+AkzRfR8g6YWi+ed2
/vcFyYcEONDMVMDFj+EOOBKaZFyaePvClPaesfcJh6OPpl/Dmm8j+/MH/BgmxROC3SJ/tGwo5ZSj
PgCqcwlzqh5K7/7XjKHgX9OJFg8GkrufRR9M+7yN1+7LqJwl31Zjredzp2NqMPpVsB794Y5+7+m0
OUcpnVUDy90VQHQfymJLaBrKXxx5X74PKsW+jjE+jwUuvDgPTRmvIBXjwsgMceXnDqSR6hvJW0eO
azRJTvZ7t3Ial6WcqYUAMtlKfp3xEVs32eJwnozUez2rfZ9mP3+Ij6+RF4eVByR+zCCIkfsIPbHu
ygGB9HRDCI2emda3jVDbu/X4ZTGCUfwhfed/u56rEyz1/0h0+dBmPgasvGBzvPm17BHoLvONiR2U
22w6rGf/K2gNnzgrsEhoZWA4DNV/TQeOQvmMsDC/eV+W2CTrt+FjJObsEMHrBePzBtXzyz91P0FI
+UkwAuGjiH/HRallnbNudYuDXxtoVCO/Qi717GEs8l9OdUDBXMDBig9mISd9vKh+H/NVbFfLmHjJ
4X0rMpGix1wz27Li4/On+lBb49thaIQU42lFzgHMrL9fq8biK84Rfn/Ha4nt2/uwsr1CbxU7p9LH
SRVMiMW0nMuG89eVVDo25WpauA442PI/5spkEvzDfb1TRP7R4GCYNEEIcccko+rfgT2mSb3Iz2AA
drA7035nu7NmSYwolMbm736tKbRHEP3AfLEliFdOsRs4k4NFWkWI8HJMoqZoQaSubAEmYt5VsYtP
PEp0Ra36Jp6zwpqXKLYphX3rJRZrya7LbVHLXVWOqz3gAGF6fbUNOhcI8MohidFB2f1eZyRndjKc
2xh3CDlfw4KfQqg84+RlmCSYORSSAwcgP6u2WPa2dJFfGyff4M9S9HZKd1FODgGLmPc2vb4fgYq3
1lRpZbOkcGTV2xOFsQ4b7cYOOL/U2ij1zNbPG/0bpy/1JtN4n5lbira8N7MNLOIrih555QrtuAtr
IjBav8xHnJzfoRjJco7hzfsG621nR8VP0b7YCOrNhS+R6R858xSeja9OwyWrgtPOdDKpomQJlOqq
55xHnaHMy0eH7Xjo3HgLJt7tMfcIZwGk6KcO/Hd5Px+GChG23MIch8t9DzLkU/0gYmQImjgyyOZV
ZrWRZB259l0IqdJXu0SieJAP7kJAePNAHURX2tibmrZ30ww9xY2HrAUFT7b0c2gO+7STlpVj7s5m
+O+FI3EfnFxvVvaz5c7LENwA58XtlzokksxGmYw1Kid0JrR5iLoB/3+b/IOFd4snmw0rk5AZEJMp
YstoufgfiSVWVwX28PhXUyZXGaf8ELJtNGcpSXLCxBXg1TOrYkm3seAgUG8qH1Xo1xpEyECg+14K
/DVHSur0iXcVVKwn+Z7wBw+90K/9H4C83r8u9aAXw/euUb7tUmufeD52+jDFR8R2nelhUNLh2OBz
G3ZBfpcqjCl8YHFpgnNbh0a5rzLCuzYp4QFnd8ncfLtkKr7IxOQcMtNZjziyTwcQlube7zzCoDE/
v/GzocT2VUzdQ0ynPojEhZPP6Etf864tvyZm1mzn0MJsKCgdEpdBYCOFheZl0JrPDf4LOEi33pWH
dxImB2nK2zWNbo/vtNjlTTbernlJNhp7imEXLKaDBV/vVd/TdjwjLsOGShjJZTX1w87tgcYhyCQH
RFfhNg1V8MVvUwnfoM1+ZD15L2XaJthW1/XWjUN5Cla72hOqQnW6bl08+gpMsgh1rP294iuPAefE
Vxyzxwv4GPEPGRJIU8xWSS5wmLs4t5vNuSWLHOsWoCPMbJwmeVTzGryURo2tsjNWDyqws51pD+YJ
rWaabRqimq8E8OG+G3qSY3I//gKomcGjGpzwh0UJinOW1Vr3k52n2Z54JWMHEXi47ycBEMJUsEUh
gba875YCLwEVRLEfxmnwNZvscDnCjBi/97ZA0tWMLTFYCZEOy2ZCwfMzGFy/2hqx0Z2qEJrEVlhD
/mWenILzW9Vcuv1AyE8cpM2Lmfft1eyjLug9fEeYO3VEhkgmdZrZZl+bfjEdQeWNU1Y4qb0NmP1+
WEph4bOuATmMA3zHb6qV6qc0jDmyM2t9IZ6psWE6tNAa17Wn56YlvuswuTqCtrCGnE/eSB74xkQ6
eoOKlYmYo140Kad0TriWlO2pm2W3t9vRvnTLat6AQD+5avlOfnd8IyyGz9RjTwHkaRIlDiHYx6qi
wdPGH+qbNhXdt6Wd2SualN2TfjMWcDPwzM8St90YoyNeqJg3GwdhHCYoytnYZjV8mUlEx9QEI+yo
GIbkUaaL/NrNbWVv5DzOEWmtbb7JuT8qwQFYIANvTtdIzIG6C+0+xbd5nbCPr9p1Q/GpeqqbTOI3
P1lfQoobx9bugmgkD+SEQZJ46QNvvtLSH2T7AMFcFJVSPBrY9iRjgizDICcd39HwpTPYbG0D9o24
0ee9vPOUhz+ALUnuC7PVPwzYQd7BH4JzotLu0W7qFt+Y2brI28l7IV/sUXF+f0R6tQYXkmSGTS6r
5Cf2QOSMYb4+7tieLmdytl3s5YWkklwk5GqlEzkYYdFeSPbHFmzuPnwMSXx7xYfDeSAdp3mdVvIq
Rzo4BgaNfS0gPOA/7SGtmuVwZt9rbHCYma4M4smeV7OpL5yStJWoBua+IW5bsJbNzEhmji6SVbvw
Dkjr8c3u6/yicMfuEc6Zw/1P9gltkrPPPaf/Bl4o78I6JX11KcNzVXXrZdLnhFX5TLkcz6vsphbm
cOpGoe5qEsgeOqLzvjvFxORgy2W6EdiD7eB0qlvLGbTpha+OmZpJbmrGoL6ICcDYcmyH+QkcEx5X
o4uv4jjtvqx2kD4GQDrf5BqQ7ZSkyYHB5l+vljHArfKyfRnGLr57Jc4xCOPLbbAuOA2bcOT2a2I0
dwWlgbtkblqsh9rS3Hcql9/aYRS4DrnretWFYryEQAU53aiah8RZQ8yMk2reOX4RHCxqkdHUruI2
mBI0Zrg8/DBiG27c1eIS0xxGSzWzB9/6I1B7cFW4zuQPOxNHlRLP7rCNr5TRJnegP+Qai6V+Kofu
hb9JAKAz66mv2MHko5/fzGEOLdRtrewUNq39PBrxqCL8P0zyK/3xMbOnSV6kdumIKEwt/1LETRfs
Q8So4alKg3ZLfZm4s4k6/Ja88crf5OsQTpvKieubxoCHcEnum09be6Yauiv0fBSgLBxK1LEWsrp1
ZmF88eswayNvRkG7S8O2u8+TbKpQejVLelllRZNtja7GxhTvZsu4IP2mX+8XBAxjeqG3HuY2lDMW
YwWt1qAdOxVgBR22RD47l8itxni6BsUhE8IZreRBIcBdiGMqvStohDHKPIst4uUAQDA8YSCB/xPz
SNcOLjbBGJFCdzpMg+efXHs26/xhdZbYJmBrlmY4nmwmO/MYkEa3XMiSIL1tOvXueA6NpMhhBiUl
LiadQcJGERkoM86ZA5tngw9P+aXB3mq9UByA0QP70saAKcyJVLE76gvXmDutagtxb902IG6n3B4w
lLb84jQYy9yTGrEYXriSDoI2eK624EdVodljCPGq22EQeTBsFy/3SrIUxr5hPASUXaPRWuxqJ6yx
TK+KlKoxpq3Az9E6zJLonmqhIOWPeXEguM9FPqdcdV1kwLfbfM7mA6JJC4NU9J7EE3hIDo9F0rWU
SUcX/Rc+VMuDN9jDjeGGsx9VeSwQNwkCMaIFLPHJarGOnEK2Jk7X4j3UNDHi6mRK7dGO2MKlRhPB
GYAipzZ+6t0vhmh8NmZjsGRlxEw68AsNRnKI4pmEZODt0pbMeTeRlra3qogfTXetPTeue20Zkzc+
UmSu4kOujRSTaXrGsj55TNL2OQlbF5tdqaqzgnOCIWTcXZgsHui7sOWhLOevlyVq05vOycb9lHaE
Nch2bTc+9FGMYyq3Ond16W2x+lg2I0IT5tdpqL4P+Bfv/QazF0nOxTWVz8CMrLlXcruy2Ii7sE+d
M9nDXbfNJjAo+gMdZgNPT/2wmrb40sq6D3Y9mVxXfVM3xLv0A8GJM3mvR9BsRFlGNYfHqsklvt6y
3BfawbwuTGsXDmlzWcTkXNrFLC7tlmJqk/QU1UOORVvbjqeXevTHi3W2be1VzCK8NcNJYq5kec0N
vEY1HNtOxZuwVwQFyAI7dOH1KH5Cq4rhtkLUHI+9x8MhKzOs8xp32Y+YerzUMd3TtmNQktS+FN0N
qzyLf+YVZPHk7C+4hfieVYe4Rj/0orFu06c8S6xnEMF5D5kovGjMsNr7rZ/fGcQ2RVPlpV+R1j+W
OQy1hIPb3ifQ+VujbGziyL9svjlmjHmX7cTayHnOgygDtD0RBclDJybIezZPEYdw5zbnWHKayOn8
XuCC81zEifW1sBx1NVFR3rqtbI4OUPYTRQG70HPa3G6c3JTXXhw77FuZHHUnFN8FqS/o6epKr9q4
nr42ZORkO4JGKdACcjfesXbrrIn6LpsHamBrA4jpI9OPcN0x641nZLl7Xba9/ZqixCUvsOQeNjkJ
FEFU8L3ayIU+kS4t8lNvtP0tR/iJhBKD5ftE1tzwV8upLY2K1nHMZxZehXGREajpYAyFt8Ufxjhk
0rUfNZ9hb5FiOJKOQniS68756zgFLcsDJ899M8awtJrYda4oKXaXLebQGPokbGmu5n5sXwt7mLOo
B/6cNhluS98HwhO7CwYl57SxBV39MVFNQyecT9OuzifnBHhOoLDKUN4dNJ31p4DaGu8rPx0uBbGG
nGXZjgzbMpaGuzNkBRfZRM/5hHVq+c1vpznCTLJHwmhI82ZUvnWm6heEsJXYw228Aae8C8Wm6sTs
V2OsJlM8s+UcsvWEXWI0N06qiF8eScfBKqwy3XbXtRPKB5gydKJIpBV63GLaJ5NHiQdRGnlLAw47
+hhLJAwxMjZ7agft7Nca3+bi1m4s1W85VcRoGem8DZkynTUm5XJhmHZei1uMNONgU1j4t76UyGmN
OpqIT8njPYU8vO6vi7Tx8OPjtD0LwuzXtOrxY2XBdZdtSl0twMIXlrlYtjWpq1VxuQQxkE7UjxzA
2rtyArVyNjP083Dcd2Mrs69JQnJuslUMFco7qIRwqNhM/5e58+xtG+mi8F8J9rsMVpEEdgO8Kq6x
4zjN2S+CLCnsRRxSJPXr9xmVxJQTZzcU8FoJEDiSRzPDKbecew4yjf3i1MVWSy5KSjXjr2Ip6pU5
9sBlxZDaLskBvqcim5zQWQaAq0hGeWP0lOA2KLOQ50AZpfDLAIQ1uYkV8HuGv4h7DoyAeSaCpBmh
eVub92Zuat77bRC5l8lESBE5MmSrqZM6u3Kg/yBfAY5B5mfYh2tr7hoTpe6fgfdes9+WqnD8L2VG
fStCvDYBuB6e7QSSNK4IjuPiE3xt+tKGcAnZkhslcJTGGJauKJfh2ZqsG0+LKy9IgwcdMZMVrK5R
AfXVlV4yvPWAqjZNExQmCj2evNcLM/PRXAVA6+uXSlkumxR8lF9g4+A7uMvTDHZhzuNekY5C0FHX
GiAzTPfM4cRsHGRYC9s48wsrbpqM6DC1rEt/CNQL2nRj7Ca14UfjrAIJhOJpDhnnmzWmnw1ZX9Sf
kJ1bTRyE+lRj6Rhjq1nrxhn5yPhTZpfRxx6onwJGAIriBkbJ3hmDgonnSoK8ANkjhcrgcdoXDoLn
OfiZerDWliRF1/2y2aD/Lx0oQW9NULvnxKf9N6ky0Yeh1i+vAxV6/HGmx4DIVsgx6Fkveh84dWVd
LDHhLGjFMqgzIdkMk7O8UEBX1nZWQaOnrMJ5hkRYyNEqtWrQcUJcvdDXzZ3we1WNgdCD69Eq8BAn
QWaaZzAnFfFoAv3/A5qJdZMNVLdaqncwA4fmqPKTZJYrJNYhlVzhGiTr3gpvJA8gs8ecyMV56Znh
au72ahlxwaLWkuE69NxT6sdQQjuNS9UGNKQtHam4ZcBTaTSKOFdFan2J0G8jYGlNNBRICSj6Jh6q
1Yib2O4r5QhKjbK4B5IBnGOQZ6D/hmBN4HhNSlUD70Rw68bF844HxhI7/LomEVgPKj20xlbYjy57
rkiB2JcmRR9g/rIYSInWlGJkJ6Zk/usV3hn1FDwYq3Z7Ax3M3zlktRQFlwTMHtYAKVgbE+ddCcE8
41wjtqBm9W3Dwx4ZzsR2xgGYj0UPUBXBwyBz3/Q4hsXfOJeV984K4lxaXTpak1gw/cscZQn/gSNS
b870lRHcpZBCXwPfdOdurjLzCM3VwOgmFMlCauOjyeYr1Ue7NsvbKofQ7CajvI6stRWnnKZWTBFF
aDp3KuFDa+QEFESrBC38Eexq/udKN6hvNENhnKPoR6FzlZvvlxM3PS20RLnv5wIGXQt8JHqdayoH
BKx21GU1N9R6av5IK8WKYjOEVcTA8VfO6sLt56DmRLIGpupOqpruOpGEbOAND7PEarRTMlfkf5Gy
gcLRhV+VoxfdKaIwBawR6EW5Aj5vSCPFtV5m5RtXU+HkV0w3s04BaGQfqtoqQEMXCaMEpWD9jYw3
2rkxBvjbZU9avAJSlGSATd34A3hBHWAy4dL3RlzoAYgwwiW365gIwADCjaw/DlcA/0a6Evvj9bLm
d1wTmB9wlhhNPj37WgkvGWsTUVNFbzZfLE6L1VVdJHk2ipYr+06YOarCRc80Ie8Ca3SpxxSA69FE
u7K9KLSAL02Qoc3ViYOOqqc9NJEfXta9TNyCIQyGYNO0KdU6ZUL+w3KaoW8KlO6syvCbUVk1EBxG
uV1MEIbw7YjzN9ejq0DVoNUs+pX5CUm8rL4hchWiamCkcTOIsliVQrsQnsYARG5SkC/K2KpgLxqu
HY1qC/TTzHgcqwEyWBBJV0PuTaw67PORp8NQLuet/7bSK8LQupZObuwo1u+hX1Elv1L0RUcV7j5H
43jg+QmxR5CeALjcFUs+yr+4lPW72FZ1DymJtXqdl5QdCeIuqKiWvYsc5gGI3f3QeluURXpZmHAq
4JGHb4gLwNIyUexPRIx9WEuREX/ItDWM+IYi7lY5uhGhQCR4GKzsSlprSgykB+bJgSWEfS50L0F4
w4G7GPlDpz5LTG0V3VHFC+89wS3Y5IVhoDZvlmPMF2hKmxSZuKBS771JU9+jzAfhiigVSjrNcBzb
0eQrcGdlZJhG8dHG3D9TjYn6kIKMv1f4FROVQiaOUoR7aoHs6xrwwVkGqe6gtsspwOniNiuVZjKw
i1RR2QfrW8ftwQGcqyj0ch/kCW6G0OEqBzTDb7+pllqOTEysQmKOo7JM/QSNZk9F+MOOjPeBh77Y
0CCqf5FliUqKDgRoqOuzpiT6n4/DjHhQ/sAFBV33iNw81VX3eLRpnN3lhoCp5G2B6DqnvLBtiZnK
l9RlA15AtSVekmsgEZq+NaAcBxZTadSQaCM9VerCQ+Hai4P1BQDzpvg48evKnJmJkYbnQWrHsN5O
jFwpeiN7ZRpVzuEVgrIh1wZuI4BcBN5VAIHqGrPRVhp/mIf9XKkvYNUhijnoazU6pEZS2X/DB1pw
qCwzhEYjzjHTU8wRdh74iRHCJK4L0MYA+wVMGjMetFdDjTabBni9AQXQysvShbJE0g5FE8L6FhjE
rIKQlUyq74agmDIXmhMNaQ9Y6P0zN3DXyvLdSrcLXBhfr/t5/im1K+g9RiSIbfw+Spn8OriBv12U
sN5WfRtWLyXTEax9KKEsUZsBrWR+gzqvgUk2WEPVs1ydQ0tqBs6QiLUcidF3FSc686CVtZafy567
1tBwn9gh74HRt/r1FaJxOMxXQSNgakdM1UH+8fT59Fw7Q07W0KKoWupfUMlLAlYW/D9GSBAqswuF
6oVFnGaytmm1xbjoZpKTKBeWZ5RA0lZw8lKA4Qek6H7RgXa6WXYAoADFu/BmkSUkKdTugA/lsmW6
vjUPtx1Apk8iT+IQQVHM7pS82DZT+p+4Bs8W6c00Xog/5W/N0oz6G9crXv/Z+ulDGvP32Y9c+7M8
FenX4vBTrXbF683b7iKVam+tH8YbHoZ35SKHf0GUEX3YDUR+9Mm7tEQXdw3dsteLD+nvfej5hnZi
Kr9gLySBDgPD90Ia2eVNpzbjea6NaIpWSzlf/PWHoZ3gIfS1vmryLy8WAMvb3b3dY3UiaEfJl0Rz
bF6bL3w0ST+bhudHuJ/t56bzuREsNg/ukdrMt3Ki35kFnUES0XX0PvIo8nUwC5Z9QrUyxanK7n0K
ZvjCFzULoB+7rgWY9CxT4w/De7wIYAqhOInCYVvfTg+nyAsbPilEEBfdFoED7SbQMMBaYDh4MZ+P
ZwH4z8k3xaGXNn7qtFizncZvGCfcBaoBCnT7lDlbWuNXlBNiIVBsSCDNy3r+5LEldUm38fdPqPxR
MTTt7fOHyfHx+B3jBEVNXdF3G+0F7X5N72vbZ3Jwnv6Xm8A6geNbByS52+SgOR8PX+Xxy0JtigK3
y4P3X9YioLrOPsJ9iD0GXRJ1mpvXwVHo6CfydMBq272/PXVe1FogttN1KyDMZgN4hBnqh7MAQRSn
RB++BthV5Wu7917QLOimDXFrxwOBHQFnCtRZPzkQNQXbCOMZ3ORmFrZf+IJmQdOgV+g6CzxrDdU8
nvdmkIfXouOcAK2WCMPdsfn/Mg5m/55H7SdW8kEL361k1AhNxBDwlba4XOXwVIBOGP+tDxHR9mx8
eRckSNut0drhhtBOCCQCIrUkyJXXwQXJqdBHeVrHk3xpVwOM7U9kv3+yCKbz2E9Gvihyf1ZwBX53
lZQTrkbKJvTtbj/cCJYhzUNYRPb344tbBKqxUb/sZiVBjw2E29KM3TAPXCVVZRpkzBh36aWtAohB
ZN1Hp/Fr9gnMSXjEuz1wuAls7cSgZgRZi90HtrvuX10K/+JD3yIQhHui+Sb24C/EowDGLz+w98uf
NrDzt6VTLaknWx+UoYht01vPW/78urVVNt7wozf33vHme3a/vhvg069ufdd+VPv/PPcX+TSfeajO
SYnZXTdlAOmvP/4XTR+m8fQx/SW7kzn/3pO//mj189Hz/0XDsLzs25FzIk2+/c8/jMx8W1fPtgtl
VNomtFch8DtGw+E0EVOxb2nTZXCF+59/v8vDKfSRJNDbKr+I9WFadJ1m6q/TfDpvyWuA7sGq7t5y
kixmhT8rOcW3jckpwbnlxOra+GgRTatpvti3JFu2YR7a//z7k72/eV6lX18xOWX80J52yICOsApP
mXV/3l7e28Ox68wQ2kURut0yzErchV1bPmfGfX/fzmZ5w2t7hJVyMZ96rQW4uye7dvgiisi2+e0d
ibdwhPV3kcz9A1kMmKFsLrfOnU6r9sPbOtVdm716ejb1obTq3t8relbOwmbf0mZdSJ9s/x+/vxXf
pKUvnkyzw83eve3rqZ+0Tg9CS8e4Xq6n1PJPk/m+h3I6KAmTFnnXR3hN7cF05pViAdXVvrlt+xvf
onP7/syjfLFNgQ371BF2+DWYlwWJ6NbK3sUMu3eb8iz+ZlnrbIIYQjoIx2g9LfPDpmWws3PTP5fW
2dhZv79xbhYP+fTAetqFIrp2+maxmrbvLULS+hHMJ6n0dT6NM+H57Wud9mU8rXvHq1eXi1wsWifV
zi89RuM/lynr/DSrV18obtjPwWbLw9d5hMP7JqUY8NVwmqfclO3NSSbiaF8wmoaHe38bMO867289
v2U4aECcj3DxvA0jLJK2V0PTkqavc4/zhXuoMkCgt3vDt4skkUJA0wM3gWJn7Qj9vvPS+eLVhXhy
t8HeegTb8n1a/mQhwo8qmRa6zvv2C54uRNn8EezBD8z+QohFy6QAlS7Zbrt2/cOibnuVOp0+Qrsf
i6m37508U6AIkTncrt39tMhjbrZ9Q5uWuYqPcGF+8vFsDpa3jrrjEdbf5yn3TuIW7a25S2J0nZHP
C1G8+mHnEZo9wuL77ItZChdey3IDVWQfY2KalHCs23qaW9jL87Pyo0jTN8DG0/jTHo7yo19rB9fk
J2bRYpq//gcAAP//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b="1">
              <a:solidFill>
                <a:schemeClr val="bg1"/>
              </a:solidFill>
            </a:defRPr>
          </a:pPr>
          <a:endParaRPr lang="en-US" sz="900" b="1" i="0" u="none" strike="noStrike" baseline="0">
            <a:solidFill>
              <a:schemeClr val="bg1"/>
            </a:solidFill>
            <a:latin typeface="Aptos Narrow" panose="02110004020202020204"/>
          </a:endParaRPr>
        </a:p>
      </cx:txPr>
    </cx:legend>
  </cx:chart>
  <cx:spPr>
    <a:solidFill>
      <a:srgbClr val="2C3E50"/>
    </a:soli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jpeg"/><Relationship Id="rId13" Type="http://schemas.openxmlformats.org/officeDocument/2006/relationships/image" Target="../media/image11.jpeg"/><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image" Target="../media/image10.jpe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openxmlformats.org/officeDocument/2006/relationships/image" Target="../media/image9.jpeg"/><Relationship Id="rId5" Type="http://schemas.openxmlformats.org/officeDocument/2006/relationships/image" Target="../media/image5.png"/><Relationship Id="rId15" Type="http://schemas.openxmlformats.org/officeDocument/2006/relationships/image" Target="../media/image12.png"/><Relationship Id="rId10" Type="http://schemas.openxmlformats.org/officeDocument/2006/relationships/image" Target="../media/image8.jpeg"/><Relationship Id="rId4" Type="http://schemas.openxmlformats.org/officeDocument/2006/relationships/image" Target="../media/image4.png"/><Relationship Id="rId9" Type="http://schemas.openxmlformats.org/officeDocument/2006/relationships/image" Target="../media/image7.jpeg"/><Relationship Id="rId14" Type="http://schemas.microsoft.com/office/2014/relationships/chartEx" Target="../charts/chartEx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editAs="oneCell">
    <xdr:from>
      <xdr:col>1</xdr:col>
      <xdr:colOff>2</xdr:colOff>
      <xdr:row>12</xdr:row>
      <xdr:rowOff>5951</xdr:rowOff>
    </xdr:from>
    <xdr:to>
      <xdr:col>3</xdr:col>
      <xdr:colOff>579</xdr:colOff>
      <xdr:row>30</xdr:row>
      <xdr:rowOff>47625</xdr:rowOff>
    </xdr:to>
    <mc:AlternateContent xmlns:mc="http://schemas.openxmlformats.org/markup-compatibility/2006" xmlns:a14="http://schemas.microsoft.com/office/drawing/2010/main">
      <mc:Choice Requires="a14">
        <xdr:graphicFrame macro="">
          <xdr:nvGraphicFramePr>
            <xdr:cNvPr id="30" name="State">
              <a:extLst>
                <a:ext uri="{FF2B5EF4-FFF2-40B4-BE49-F238E27FC236}">
                  <a16:creationId xmlns:a16="http://schemas.microsoft.com/office/drawing/2014/main" id="{4BDFE12A-57CC-4638-89BA-FAF62F33665F}"/>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178596" y="2149076"/>
              <a:ext cx="1257537" cy="50125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11905</xdr:colOff>
      <xdr:row>7</xdr:row>
      <xdr:rowOff>11907</xdr:rowOff>
    </xdr:from>
    <xdr:to>
      <xdr:col>5</xdr:col>
      <xdr:colOff>648175</xdr:colOff>
      <xdr:row>11</xdr:row>
      <xdr:rowOff>1</xdr:rowOff>
    </xdr:to>
    <xdr:sp macro="" textlink="">
      <xdr:nvSpPr>
        <xdr:cNvPr id="50" name="Rectangle 49">
          <a:extLst>
            <a:ext uri="{FF2B5EF4-FFF2-40B4-BE49-F238E27FC236}">
              <a16:creationId xmlns:a16="http://schemas.microsoft.com/office/drawing/2014/main" id="{F4717939-CBA7-0857-A9DB-B5974FB65EF6}"/>
            </a:ext>
          </a:extLst>
        </xdr:cNvPr>
        <xdr:cNvSpPr/>
      </xdr:nvSpPr>
      <xdr:spPr>
        <a:xfrm>
          <a:off x="190499" y="1262063"/>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kern="1200"/>
            <a:t>                            </a:t>
          </a:r>
          <a:r>
            <a:rPr lang="en-IN" sz="1200" b="1" kern="1200">
              <a:solidFill>
                <a:srgbClr val="ECF0F1"/>
              </a:solidFill>
            </a:rPr>
            <a:t>Total</a:t>
          </a:r>
          <a:r>
            <a:rPr lang="en-IN" sz="1200" b="1" kern="1200" baseline="0">
              <a:solidFill>
                <a:srgbClr val="ECF0F1"/>
              </a:solidFill>
            </a:rPr>
            <a:t> GDP (in Billions) </a:t>
          </a:r>
          <a:endParaRPr lang="en-IN" sz="1200" b="1" kern="1200">
            <a:solidFill>
              <a:srgbClr val="ECF0F1"/>
            </a:solidFill>
          </a:endParaRPr>
        </a:p>
      </xdr:txBody>
    </xdr:sp>
    <xdr:clientData/>
  </xdr:twoCellAnchor>
  <xdr:twoCellAnchor editAs="oneCell">
    <xdr:from>
      <xdr:col>1</xdr:col>
      <xdr:colOff>77390</xdr:colOff>
      <xdr:row>7</xdr:row>
      <xdr:rowOff>59534</xdr:rowOff>
    </xdr:from>
    <xdr:to>
      <xdr:col>2</xdr:col>
      <xdr:colOff>46037</xdr:colOff>
      <xdr:row>10</xdr:row>
      <xdr:rowOff>125017</xdr:rowOff>
    </xdr:to>
    <xdr:pic>
      <xdr:nvPicPr>
        <xdr:cNvPr id="51" name="Picture 50">
          <a:extLst>
            <a:ext uri="{FF2B5EF4-FFF2-40B4-BE49-F238E27FC236}">
              <a16:creationId xmlns:a16="http://schemas.microsoft.com/office/drawing/2014/main" id="{611F128D-0640-D343-73CF-12076DFDC7D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55984" y="1309690"/>
          <a:ext cx="599678" cy="601265"/>
        </a:xfrm>
        <a:prstGeom prst="rect">
          <a:avLst/>
        </a:prstGeom>
      </xdr:spPr>
    </xdr:pic>
    <xdr:clientData/>
  </xdr:twoCellAnchor>
  <xdr:twoCellAnchor>
    <xdr:from>
      <xdr:col>2</xdr:col>
      <xdr:colOff>156947</xdr:colOff>
      <xdr:row>8</xdr:row>
      <xdr:rowOff>153699</xdr:rowOff>
    </xdr:from>
    <xdr:to>
      <xdr:col>4</xdr:col>
      <xdr:colOff>718922</xdr:colOff>
      <xdr:row>10</xdr:row>
      <xdr:rowOff>112026</xdr:rowOff>
    </xdr:to>
    <xdr:sp macro="" textlink="Analyse!A3">
      <xdr:nvSpPr>
        <xdr:cNvPr id="52" name="Rectangle 51">
          <a:extLst>
            <a:ext uri="{FF2B5EF4-FFF2-40B4-BE49-F238E27FC236}">
              <a16:creationId xmlns:a16="http://schemas.microsoft.com/office/drawing/2014/main" id="{A4F05F28-72FA-9670-0621-818AEACEC987}"/>
            </a:ext>
          </a:extLst>
        </xdr:cNvPr>
        <xdr:cNvSpPr/>
      </xdr:nvSpPr>
      <xdr:spPr>
        <a:xfrm>
          <a:off x="1022856" y="1723881"/>
          <a:ext cx="1427884" cy="350872"/>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1EA36A2C-C89E-41ED-B567-3469FC077771}" type="TxLink">
            <a:rPr lang="en-US" sz="1600" b="1" i="0" u="none" strike="noStrike" kern="1200">
              <a:ln>
                <a:noFill/>
              </a:ln>
              <a:solidFill>
                <a:srgbClr val="2C3E50"/>
              </a:solidFill>
              <a:latin typeface="Aptos Narrow"/>
            </a:rPr>
            <a:pPr algn="l"/>
            <a:t>$6,263.00</a:t>
          </a:fld>
          <a:endParaRPr lang="en-IN" sz="1600" b="1" kern="1200">
            <a:ln>
              <a:noFill/>
            </a:ln>
            <a:solidFill>
              <a:srgbClr val="2C3E50"/>
            </a:solidFill>
          </a:endParaRPr>
        </a:p>
      </xdr:txBody>
    </xdr:sp>
    <xdr:clientData/>
  </xdr:twoCellAnchor>
  <xdr:twoCellAnchor>
    <xdr:from>
      <xdr:col>5</xdr:col>
      <xdr:colOff>976313</xdr:colOff>
      <xdr:row>7</xdr:row>
      <xdr:rowOff>11906</xdr:rowOff>
    </xdr:from>
    <xdr:to>
      <xdr:col>8</xdr:col>
      <xdr:colOff>761286</xdr:colOff>
      <xdr:row>11</xdr:row>
      <xdr:rowOff>0</xdr:rowOff>
    </xdr:to>
    <xdr:sp macro="" textlink="">
      <xdr:nvSpPr>
        <xdr:cNvPr id="53" name="Rectangle 52">
          <a:extLst>
            <a:ext uri="{FF2B5EF4-FFF2-40B4-BE49-F238E27FC236}">
              <a16:creationId xmlns:a16="http://schemas.microsoft.com/office/drawing/2014/main" id="{0327939D-C7CC-B6F8-21BF-90D6EC0EFB69}"/>
            </a:ext>
          </a:extLst>
        </xdr:cNvPr>
        <xdr:cNvSpPr/>
      </xdr:nvSpPr>
      <xdr:spPr>
        <a:xfrm>
          <a:off x="3536157" y="1262062"/>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0" kern="1200" baseline="0">
              <a:solidFill>
                <a:schemeClr val="lt1"/>
              </a:solidFill>
            </a:rPr>
            <a:t>                               </a:t>
          </a:r>
          <a:r>
            <a:rPr lang="en-IN" sz="1200" b="1" kern="1200">
              <a:solidFill>
                <a:srgbClr val="ECF0F1"/>
              </a:solidFill>
            </a:rPr>
            <a:t>Total</a:t>
          </a:r>
          <a:r>
            <a:rPr lang="en-IN" sz="1200" b="1" kern="1200" baseline="0">
              <a:solidFill>
                <a:srgbClr val="ECF0F1"/>
              </a:solidFill>
            </a:rPr>
            <a:t> Population</a:t>
          </a:r>
          <a:endParaRPr lang="en-IN" sz="1200" b="1" kern="1200">
            <a:solidFill>
              <a:srgbClr val="ECF0F1"/>
            </a:solidFill>
          </a:endParaRPr>
        </a:p>
      </xdr:txBody>
    </xdr:sp>
    <xdr:clientData/>
  </xdr:twoCellAnchor>
  <xdr:twoCellAnchor>
    <xdr:from>
      <xdr:col>6</xdr:col>
      <xdr:colOff>270053</xdr:colOff>
      <xdr:row>8</xdr:row>
      <xdr:rowOff>154061</xdr:rowOff>
    </xdr:from>
    <xdr:to>
      <xdr:col>7</xdr:col>
      <xdr:colOff>884163</xdr:colOff>
      <xdr:row>10</xdr:row>
      <xdr:rowOff>112388</xdr:rowOff>
    </xdr:to>
    <xdr:sp macro="" textlink="Analyse!B3">
      <xdr:nvSpPr>
        <xdr:cNvPr id="54" name="Rectangle 53">
          <a:extLst>
            <a:ext uri="{FF2B5EF4-FFF2-40B4-BE49-F238E27FC236}">
              <a16:creationId xmlns:a16="http://schemas.microsoft.com/office/drawing/2014/main" id="{E4314595-DB0F-86FB-CCCA-AC131E71B3BD}"/>
            </a:ext>
          </a:extLst>
        </xdr:cNvPr>
        <xdr:cNvSpPr/>
      </xdr:nvSpPr>
      <xdr:spPr>
        <a:xfrm>
          <a:off x="4795871" y="1724243"/>
          <a:ext cx="1803292" cy="350872"/>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EFEB587-C03E-4533-B407-68B696938BFA}" type="TxLink">
            <a:rPr lang="en-US" sz="1600" b="1" i="0" u="none" strike="noStrike" kern="1200">
              <a:ln>
                <a:noFill/>
              </a:ln>
              <a:solidFill>
                <a:srgbClr val="2C3E50"/>
              </a:solidFill>
              <a:latin typeface="Aptos Narrow"/>
            </a:rPr>
            <a:pPr algn="l"/>
            <a:t>76074121</a:t>
          </a:fld>
          <a:endParaRPr lang="en-IN" sz="1600" b="1" kern="1200">
            <a:ln>
              <a:noFill/>
            </a:ln>
            <a:solidFill>
              <a:srgbClr val="2C3E50"/>
            </a:solidFill>
          </a:endParaRPr>
        </a:p>
      </xdr:txBody>
    </xdr:sp>
    <xdr:clientData/>
  </xdr:twoCellAnchor>
  <xdr:twoCellAnchor editAs="oneCell">
    <xdr:from>
      <xdr:col>5</xdr:col>
      <xdr:colOff>1041797</xdr:colOff>
      <xdr:row>7</xdr:row>
      <xdr:rowOff>59531</xdr:rowOff>
    </xdr:from>
    <xdr:to>
      <xdr:col>6</xdr:col>
      <xdr:colOff>150091</xdr:colOff>
      <xdr:row>10</xdr:row>
      <xdr:rowOff>127253</xdr:rowOff>
    </xdr:to>
    <xdr:pic>
      <xdr:nvPicPr>
        <xdr:cNvPr id="55" name="Picture 54">
          <a:extLst>
            <a:ext uri="{FF2B5EF4-FFF2-40B4-BE49-F238E27FC236}">
              <a16:creationId xmlns:a16="http://schemas.microsoft.com/office/drawing/2014/main" id="{093EB548-5587-8EE1-E954-1DB6B188CA0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62797" y="1433440"/>
          <a:ext cx="713112" cy="656540"/>
        </a:xfrm>
        <a:prstGeom prst="rect">
          <a:avLst/>
        </a:prstGeom>
      </xdr:spPr>
    </xdr:pic>
    <xdr:clientData/>
  </xdr:twoCellAnchor>
  <xdr:twoCellAnchor>
    <xdr:from>
      <xdr:col>8</xdr:col>
      <xdr:colOff>1101327</xdr:colOff>
      <xdr:row>7</xdr:row>
      <xdr:rowOff>5953</xdr:rowOff>
    </xdr:from>
    <xdr:to>
      <xdr:col>12</xdr:col>
      <xdr:colOff>481488</xdr:colOff>
      <xdr:row>10</xdr:row>
      <xdr:rowOff>172640</xdr:rowOff>
    </xdr:to>
    <xdr:sp macro="" textlink="">
      <xdr:nvSpPr>
        <xdr:cNvPr id="56" name="Rectangle 55">
          <a:extLst>
            <a:ext uri="{FF2B5EF4-FFF2-40B4-BE49-F238E27FC236}">
              <a16:creationId xmlns:a16="http://schemas.microsoft.com/office/drawing/2014/main" id="{B0B423EC-67E1-9DD8-FFB2-D7401F846CA5}"/>
            </a:ext>
          </a:extLst>
        </xdr:cNvPr>
        <xdr:cNvSpPr/>
      </xdr:nvSpPr>
      <xdr:spPr>
        <a:xfrm>
          <a:off x="6893718" y="1256109"/>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rgbClr val="ECF0F1"/>
              </a:solidFill>
            </a:rPr>
            <a:t>                             Average</a:t>
          </a:r>
          <a:r>
            <a:rPr lang="en-IN" sz="1200" b="1" kern="1200" baseline="0">
              <a:solidFill>
                <a:srgbClr val="ECF0F1"/>
              </a:solidFill>
            </a:rPr>
            <a:t> Income</a:t>
          </a:r>
          <a:endParaRPr lang="en-IN" sz="1200" b="1" kern="1200">
            <a:solidFill>
              <a:srgbClr val="ECF0F1"/>
            </a:solidFill>
          </a:endParaRPr>
        </a:p>
      </xdr:txBody>
    </xdr:sp>
    <xdr:clientData/>
  </xdr:twoCellAnchor>
  <xdr:twoCellAnchor>
    <xdr:from>
      <xdr:col>9</xdr:col>
      <xdr:colOff>128981</xdr:colOff>
      <xdr:row>8</xdr:row>
      <xdr:rowOff>130971</xdr:rowOff>
    </xdr:from>
    <xdr:to>
      <xdr:col>10</xdr:col>
      <xdr:colOff>154995</xdr:colOff>
      <xdr:row>10</xdr:row>
      <xdr:rowOff>89298</xdr:rowOff>
    </xdr:to>
    <xdr:sp macro="" textlink="Analyse!C3">
      <xdr:nvSpPr>
        <xdr:cNvPr id="57" name="Rectangle 56">
          <a:extLst>
            <a:ext uri="{FF2B5EF4-FFF2-40B4-BE49-F238E27FC236}">
              <a16:creationId xmlns:a16="http://schemas.microsoft.com/office/drawing/2014/main" id="{0BFE50E6-65F0-756D-E2DC-EDDB36D675A2}"/>
            </a:ext>
          </a:extLst>
        </xdr:cNvPr>
        <xdr:cNvSpPr/>
      </xdr:nvSpPr>
      <xdr:spPr>
        <a:xfrm>
          <a:off x="8891981" y="1701153"/>
          <a:ext cx="1757832" cy="350872"/>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022DF3A-ACA8-420E-A1F5-9567ABF1FB1F}" type="TxLink">
            <a:rPr lang="en-US" sz="1600" b="1" i="0" u="none" strike="noStrike" kern="1200">
              <a:ln>
                <a:noFill/>
              </a:ln>
              <a:solidFill>
                <a:srgbClr val="2C3E50"/>
              </a:solidFill>
              <a:latin typeface="Aptos Narrow"/>
            </a:rPr>
            <a:pPr algn="l"/>
            <a:t>$44,562</a:t>
          </a:fld>
          <a:endParaRPr lang="en-IN" sz="1600" b="1" kern="1200">
            <a:ln>
              <a:noFill/>
            </a:ln>
            <a:solidFill>
              <a:srgbClr val="2C3E50"/>
            </a:solidFill>
          </a:endParaRPr>
        </a:p>
      </xdr:txBody>
    </xdr:sp>
    <xdr:clientData/>
  </xdr:twoCellAnchor>
  <xdr:twoCellAnchor editAs="oneCell">
    <xdr:from>
      <xdr:col>8</xdr:col>
      <xdr:colOff>1161655</xdr:colOff>
      <xdr:row>7</xdr:row>
      <xdr:rowOff>65486</xdr:rowOff>
    </xdr:from>
    <xdr:to>
      <xdr:col>9</xdr:col>
      <xdr:colOff>11545</xdr:colOff>
      <xdr:row>10</xdr:row>
      <xdr:rowOff>103909</xdr:rowOff>
    </xdr:to>
    <xdr:pic>
      <xdr:nvPicPr>
        <xdr:cNvPr id="58" name="Picture 57">
          <a:extLst>
            <a:ext uri="{FF2B5EF4-FFF2-40B4-BE49-F238E27FC236}">
              <a16:creationId xmlns:a16="http://schemas.microsoft.com/office/drawing/2014/main" id="{88F4B13E-7B5D-9E02-5FC4-2441C8D02B15}"/>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065837" y="1439395"/>
          <a:ext cx="708708" cy="627241"/>
        </a:xfrm>
        <a:prstGeom prst="rect">
          <a:avLst/>
        </a:prstGeom>
      </xdr:spPr>
    </xdr:pic>
    <xdr:clientData/>
  </xdr:twoCellAnchor>
  <xdr:twoCellAnchor>
    <xdr:from>
      <xdr:col>13</xdr:col>
      <xdr:colOff>125016</xdr:colOff>
      <xdr:row>7</xdr:row>
      <xdr:rowOff>5954</xdr:rowOff>
    </xdr:from>
    <xdr:to>
      <xdr:col>18</xdr:col>
      <xdr:colOff>439817</xdr:colOff>
      <xdr:row>10</xdr:row>
      <xdr:rowOff>172641</xdr:rowOff>
    </xdr:to>
    <xdr:sp macro="" textlink="">
      <xdr:nvSpPr>
        <xdr:cNvPr id="59" name="Rectangle 58">
          <a:extLst>
            <a:ext uri="{FF2B5EF4-FFF2-40B4-BE49-F238E27FC236}">
              <a16:creationId xmlns:a16="http://schemas.microsoft.com/office/drawing/2014/main" id="{75146E8B-588F-C6E7-0EF8-2C639C555F69}"/>
            </a:ext>
          </a:extLst>
        </xdr:cNvPr>
        <xdr:cNvSpPr/>
      </xdr:nvSpPr>
      <xdr:spPr>
        <a:xfrm>
          <a:off x="10185797" y="1256110"/>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rgbClr val="ECF0F1"/>
              </a:solidFill>
            </a:rPr>
            <a:t>                          Average</a:t>
          </a:r>
          <a:r>
            <a:rPr lang="en-IN" sz="1200" b="1" kern="1200" baseline="0">
              <a:solidFill>
                <a:srgbClr val="ECF0F1"/>
              </a:solidFill>
            </a:rPr>
            <a:t> Job Growth Rate</a:t>
          </a:r>
          <a:endParaRPr lang="en-IN" sz="1200" b="1" kern="1200">
            <a:solidFill>
              <a:srgbClr val="ECF0F1"/>
            </a:solidFill>
          </a:endParaRPr>
        </a:p>
      </xdr:txBody>
    </xdr:sp>
    <xdr:clientData/>
  </xdr:twoCellAnchor>
  <xdr:twoCellAnchor>
    <xdr:from>
      <xdr:col>14</xdr:col>
      <xdr:colOff>278352</xdr:colOff>
      <xdr:row>8</xdr:row>
      <xdr:rowOff>130609</xdr:rowOff>
    </xdr:from>
    <xdr:to>
      <xdr:col>16</xdr:col>
      <xdr:colOff>387890</xdr:colOff>
      <xdr:row>10</xdr:row>
      <xdr:rowOff>88936</xdr:rowOff>
    </xdr:to>
    <xdr:sp macro="" textlink="Analyse!D3">
      <xdr:nvSpPr>
        <xdr:cNvPr id="60" name="Rectangle 59">
          <a:extLst>
            <a:ext uri="{FF2B5EF4-FFF2-40B4-BE49-F238E27FC236}">
              <a16:creationId xmlns:a16="http://schemas.microsoft.com/office/drawing/2014/main" id="{16D89D1C-0D76-52EB-7AB2-F8E27AF0CE73}"/>
            </a:ext>
          </a:extLst>
        </xdr:cNvPr>
        <xdr:cNvSpPr/>
      </xdr:nvSpPr>
      <xdr:spPr>
        <a:xfrm>
          <a:off x="12978352" y="1700791"/>
          <a:ext cx="1448811" cy="350872"/>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5BCCEA5-3202-4B3E-8B48-177E68D7B9D6}" type="TxLink">
            <a:rPr lang="en-US" sz="1600" b="1" i="0" u="none" strike="noStrike" kern="1200">
              <a:ln>
                <a:noFill/>
              </a:ln>
              <a:solidFill>
                <a:srgbClr val="2C3E50"/>
              </a:solidFill>
              <a:latin typeface="Aptos Narrow"/>
            </a:rPr>
            <a:pPr algn="l"/>
            <a:t>2.33%</a:t>
          </a:fld>
          <a:endParaRPr lang="en-IN" sz="1600" b="1" kern="1200">
            <a:ln>
              <a:noFill/>
            </a:ln>
            <a:solidFill>
              <a:srgbClr val="2C3E50"/>
            </a:solidFill>
          </a:endParaRPr>
        </a:p>
      </xdr:txBody>
    </xdr:sp>
    <xdr:clientData/>
  </xdr:twoCellAnchor>
  <xdr:twoCellAnchor editAs="oneCell">
    <xdr:from>
      <xdr:col>13</xdr:col>
      <xdr:colOff>190499</xdr:colOff>
      <xdr:row>7</xdr:row>
      <xdr:rowOff>65484</xdr:rowOff>
    </xdr:from>
    <xdr:to>
      <xdr:col>14</xdr:col>
      <xdr:colOff>145113</xdr:colOff>
      <xdr:row>10</xdr:row>
      <xdr:rowOff>103909</xdr:rowOff>
    </xdr:to>
    <xdr:pic>
      <xdr:nvPicPr>
        <xdr:cNvPr id="61" name="Picture 60">
          <a:extLst>
            <a:ext uri="{FF2B5EF4-FFF2-40B4-BE49-F238E27FC236}">
              <a16:creationId xmlns:a16="http://schemas.microsoft.com/office/drawing/2014/main" id="{59153C83-ADA1-5D8B-FE98-9BD71B2EFAC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220863" y="1439393"/>
          <a:ext cx="624250" cy="627243"/>
        </a:xfrm>
        <a:prstGeom prst="rect">
          <a:avLst/>
        </a:prstGeom>
      </xdr:spPr>
    </xdr:pic>
    <xdr:clientData/>
  </xdr:twoCellAnchor>
  <xdr:twoCellAnchor>
    <xdr:from>
      <xdr:col>19</xdr:col>
      <xdr:colOff>77391</xdr:colOff>
      <xdr:row>7</xdr:row>
      <xdr:rowOff>0</xdr:rowOff>
    </xdr:from>
    <xdr:to>
      <xdr:col>24</xdr:col>
      <xdr:colOff>177879</xdr:colOff>
      <xdr:row>10</xdr:row>
      <xdr:rowOff>166687</xdr:rowOff>
    </xdr:to>
    <xdr:sp macro="" textlink="">
      <xdr:nvSpPr>
        <xdr:cNvPr id="62" name="Rectangle 61">
          <a:extLst>
            <a:ext uri="{FF2B5EF4-FFF2-40B4-BE49-F238E27FC236}">
              <a16:creationId xmlns:a16="http://schemas.microsoft.com/office/drawing/2014/main" id="{7D933662-555C-2AD4-D094-2C2DC0127781}"/>
            </a:ext>
          </a:extLst>
        </xdr:cNvPr>
        <xdr:cNvSpPr/>
      </xdr:nvSpPr>
      <xdr:spPr>
        <a:xfrm>
          <a:off x="13471922" y="1250156"/>
          <a:ext cx="3017520" cy="702469"/>
        </a:xfrm>
        <a:prstGeom prst="rect">
          <a:avLst/>
        </a:prstGeom>
        <a:solidFill>
          <a:srgbClr val="2C3E50"/>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200" b="1" kern="1200">
              <a:solidFill>
                <a:srgbClr val="ECF0F1"/>
              </a:solidFill>
            </a:rPr>
            <a:t>                          Average</a:t>
          </a:r>
          <a:r>
            <a:rPr lang="en-IN" sz="1200" b="1" kern="1200" baseline="0">
              <a:solidFill>
                <a:srgbClr val="ECF0F1"/>
              </a:solidFill>
            </a:rPr>
            <a:t> Migration Rate</a:t>
          </a:r>
          <a:endParaRPr lang="en-IN" sz="1200" b="1" kern="1200">
            <a:solidFill>
              <a:srgbClr val="ECF0F1"/>
            </a:solidFill>
          </a:endParaRPr>
        </a:p>
      </xdr:txBody>
    </xdr:sp>
    <xdr:clientData/>
  </xdr:twoCellAnchor>
  <xdr:twoCellAnchor>
    <xdr:from>
      <xdr:col>20</xdr:col>
      <xdr:colOff>203486</xdr:colOff>
      <xdr:row>8</xdr:row>
      <xdr:rowOff>136201</xdr:rowOff>
    </xdr:from>
    <xdr:to>
      <xdr:col>22</xdr:col>
      <xdr:colOff>313024</xdr:colOff>
      <xdr:row>10</xdr:row>
      <xdr:rowOff>94528</xdr:rowOff>
    </xdr:to>
    <xdr:sp macro="" textlink="Analyse!E3">
      <xdr:nvSpPr>
        <xdr:cNvPr id="63" name="Rectangle 62">
          <a:extLst>
            <a:ext uri="{FF2B5EF4-FFF2-40B4-BE49-F238E27FC236}">
              <a16:creationId xmlns:a16="http://schemas.microsoft.com/office/drawing/2014/main" id="{35215D14-06AF-C185-1C1A-791BB23F33F1}"/>
            </a:ext>
          </a:extLst>
        </xdr:cNvPr>
        <xdr:cNvSpPr/>
      </xdr:nvSpPr>
      <xdr:spPr>
        <a:xfrm>
          <a:off x="16447941" y="1706383"/>
          <a:ext cx="1448810" cy="350872"/>
        </a:xfrm>
        <a:prstGeom prst="rect">
          <a:avLst/>
        </a:prstGeom>
        <a:solidFill>
          <a:srgbClr val="ECF0F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D2503D8F-2B41-40FD-B331-94023726DD3E}" type="TxLink">
            <a:rPr lang="en-US" sz="1600" b="1" i="0" u="none" strike="noStrike" kern="1200">
              <a:ln>
                <a:noFill/>
              </a:ln>
              <a:solidFill>
                <a:srgbClr val="2C3E50"/>
              </a:solidFill>
              <a:latin typeface="Aptos Narrow"/>
            </a:rPr>
            <a:pPr algn="l"/>
            <a:t>0.45%</a:t>
          </a:fld>
          <a:endParaRPr lang="en-IN" sz="1600" b="1" kern="1200">
            <a:ln>
              <a:noFill/>
            </a:ln>
            <a:solidFill>
              <a:srgbClr val="2C3E50"/>
            </a:solidFill>
          </a:endParaRPr>
        </a:p>
      </xdr:txBody>
    </xdr:sp>
    <xdr:clientData/>
  </xdr:twoCellAnchor>
  <xdr:twoCellAnchor editAs="oneCell">
    <xdr:from>
      <xdr:col>19</xdr:col>
      <xdr:colOff>136921</xdr:colOff>
      <xdr:row>7</xdr:row>
      <xdr:rowOff>53579</xdr:rowOff>
    </xdr:from>
    <xdr:to>
      <xdr:col>20</xdr:col>
      <xdr:colOff>91535</xdr:colOff>
      <xdr:row>10</xdr:row>
      <xdr:rowOff>92364</xdr:rowOff>
    </xdr:to>
    <xdr:pic>
      <xdr:nvPicPr>
        <xdr:cNvPr id="64" name="Picture 63">
          <a:extLst>
            <a:ext uri="{FF2B5EF4-FFF2-40B4-BE49-F238E27FC236}">
              <a16:creationId xmlns:a16="http://schemas.microsoft.com/office/drawing/2014/main" id="{16AA9531-7E50-2937-BDB1-7F0BBC9BD7C9}"/>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711739" y="1427488"/>
          <a:ext cx="624251" cy="627603"/>
        </a:xfrm>
        <a:prstGeom prst="rect">
          <a:avLst/>
        </a:prstGeom>
      </xdr:spPr>
    </xdr:pic>
    <xdr:clientData/>
  </xdr:twoCellAnchor>
  <xdr:twoCellAnchor>
    <xdr:from>
      <xdr:col>1</xdr:col>
      <xdr:colOff>11906</xdr:colOff>
      <xdr:row>1</xdr:row>
      <xdr:rowOff>11905</xdr:rowOff>
    </xdr:from>
    <xdr:to>
      <xdr:col>24</xdr:col>
      <xdr:colOff>172640</xdr:colOff>
      <xdr:row>6</xdr:row>
      <xdr:rowOff>11904</xdr:rowOff>
    </xdr:to>
    <xdr:sp macro="" textlink="">
      <xdr:nvSpPr>
        <xdr:cNvPr id="67" name="Rectangle 66">
          <a:extLst>
            <a:ext uri="{FF2B5EF4-FFF2-40B4-BE49-F238E27FC236}">
              <a16:creationId xmlns:a16="http://schemas.microsoft.com/office/drawing/2014/main" id="{215376B7-6500-FFBA-63A8-8E12FB345579}"/>
            </a:ext>
          </a:extLst>
        </xdr:cNvPr>
        <xdr:cNvSpPr/>
      </xdr:nvSpPr>
      <xdr:spPr>
        <a:xfrm>
          <a:off x="190500" y="190499"/>
          <a:ext cx="16293703" cy="892968"/>
        </a:xfrm>
        <a:prstGeom prst="rect">
          <a:avLst/>
        </a:prstGeom>
        <a:solidFill>
          <a:srgbClr val="2C3E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3200" b="1" kern="1200">
              <a:solidFill>
                <a:srgbClr val="ECF0F1"/>
              </a:solidFill>
            </a:rPr>
            <a:t>The</a:t>
          </a:r>
          <a:r>
            <a:rPr lang="en-IN" sz="3200" b="1" kern="1200" baseline="0">
              <a:solidFill>
                <a:srgbClr val="ECF0F1"/>
              </a:solidFill>
            </a:rPr>
            <a:t> Optimal Places to Work &amp; Live </a:t>
          </a:r>
          <a:br>
            <a:rPr lang="en-IN" sz="1100" kern="1200" baseline="0">
              <a:solidFill>
                <a:srgbClr val="ECF0F1"/>
              </a:solidFill>
            </a:rPr>
          </a:br>
          <a:r>
            <a:rPr lang="en-IN" sz="1600" b="1" kern="1200" baseline="0">
              <a:solidFill>
                <a:srgbClr val="ECF0F1"/>
              </a:solidFill>
            </a:rPr>
            <a:t>United States of America (Top 15 States)</a:t>
          </a:r>
          <a:endParaRPr lang="en-IN" sz="1600" b="1" kern="1200">
            <a:solidFill>
              <a:srgbClr val="ECF0F1"/>
            </a:solidFill>
          </a:endParaRPr>
        </a:p>
      </xdr:txBody>
    </xdr:sp>
    <xdr:clientData/>
  </xdr:twoCellAnchor>
  <xdr:twoCellAnchor>
    <xdr:from>
      <xdr:col>9</xdr:col>
      <xdr:colOff>238125</xdr:colOff>
      <xdr:row>29</xdr:row>
      <xdr:rowOff>5953</xdr:rowOff>
    </xdr:from>
    <xdr:to>
      <xdr:col>15</xdr:col>
      <xdr:colOff>595313</xdr:colOff>
      <xdr:row>45</xdr:row>
      <xdr:rowOff>11908</xdr:rowOff>
    </xdr:to>
    <xdr:graphicFrame macro="">
      <xdr:nvGraphicFramePr>
        <xdr:cNvPr id="72" name="Chart 71">
          <a:extLst>
            <a:ext uri="{FF2B5EF4-FFF2-40B4-BE49-F238E27FC236}">
              <a16:creationId xmlns:a16="http://schemas.microsoft.com/office/drawing/2014/main" id="{C7DE3956-BF67-4F20-9EB1-7C3F8E1DEB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148826</xdr:colOff>
      <xdr:row>28</xdr:row>
      <xdr:rowOff>172639</xdr:rowOff>
    </xdr:from>
    <xdr:to>
      <xdr:col>25</xdr:col>
      <xdr:colOff>1665</xdr:colOff>
      <xdr:row>44</xdr:row>
      <xdr:rowOff>172639</xdr:rowOff>
    </xdr:to>
    <xdr:graphicFrame macro="">
      <xdr:nvGraphicFramePr>
        <xdr:cNvPr id="73" name="Chart 72">
          <a:extLst>
            <a:ext uri="{FF2B5EF4-FFF2-40B4-BE49-F238E27FC236}">
              <a16:creationId xmlns:a16="http://schemas.microsoft.com/office/drawing/2014/main" id="{5A767588-15E1-4285-8782-6B4D4755B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xdr:col>
      <xdr:colOff>70941</xdr:colOff>
      <xdr:row>1</xdr:row>
      <xdr:rowOff>65485</xdr:rowOff>
    </xdr:from>
    <xdr:to>
      <xdr:col>2</xdr:col>
      <xdr:colOff>246521</xdr:colOff>
      <xdr:row>5</xdr:row>
      <xdr:rowOff>142875</xdr:rowOff>
    </xdr:to>
    <xdr:pic macro="[0]!Information">
      <xdr:nvPicPr>
        <xdr:cNvPr id="3" name="Picture 2">
          <a:extLst>
            <a:ext uri="{FF2B5EF4-FFF2-40B4-BE49-F238E27FC236}">
              <a16:creationId xmlns:a16="http://schemas.microsoft.com/office/drawing/2014/main" id="{759E368C-FC07-ACE5-4EB3-8E20E6D8271D}"/>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9535" y="244079"/>
          <a:ext cx="806611" cy="791765"/>
        </a:xfrm>
        <a:prstGeom prst="rect">
          <a:avLst/>
        </a:prstGeom>
      </xdr:spPr>
    </xdr:pic>
    <xdr:clientData/>
  </xdr:twoCellAnchor>
  <xdr:twoCellAnchor editAs="oneCell">
    <xdr:from>
      <xdr:col>8</xdr:col>
      <xdr:colOff>336947</xdr:colOff>
      <xdr:row>37</xdr:row>
      <xdr:rowOff>83346</xdr:rowOff>
    </xdr:from>
    <xdr:to>
      <xdr:col>8</xdr:col>
      <xdr:colOff>1159907</xdr:colOff>
      <xdr:row>42</xdr:row>
      <xdr:rowOff>13337</xdr:rowOff>
    </xdr:to>
    <xdr:pic>
      <xdr:nvPicPr>
        <xdr:cNvPr id="44" name="Picture 43">
          <a:extLst>
            <a:ext uri="{FF2B5EF4-FFF2-40B4-BE49-F238E27FC236}">
              <a16:creationId xmlns:a16="http://schemas.microsoft.com/office/drawing/2014/main" id="{84F8780D-B4CF-6F1D-0EF2-E4794C3AD86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242447" y="6691315"/>
          <a:ext cx="822960" cy="822960"/>
        </a:xfrm>
        <a:prstGeom prst="rect">
          <a:avLst/>
        </a:prstGeom>
      </xdr:spPr>
    </xdr:pic>
    <xdr:clientData/>
  </xdr:twoCellAnchor>
  <xdr:twoCellAnchor editAs="oneCell">
    <xdr:from>
      <xdr:col>7</xdr:col>
      <xdr:colOff>78563</xdr:colOff>
      <xdr:row>37</xdr:row>
      <xdr:rowOff>78562</xdr:rowOff>
    </xdr:from>
    <xdr:to>
      <xdr:col>7</xdr:col>
      <xdr:colOff>901523</xdr:colOff>
      <xdr:row>42</xdr:row>
      <xdr:rowOff>8553</xdr:rowOff>
    </xdr:to>
    <xdr:pic>
      <xdr:nvPicPr>
        <xdr:cNvPr id="46" name="Picture 45">
          <a:extLst>
            <a:ext uri="{FF2B5EF4-FFF2-40B4-BE49-F238E27FC236}">
              <a16:creationId xmlns:a16="http://schemas.microsoft.com/office/drawing/2014/main" id="{753F6DA7-93C4-BE7D-6980-50DF893BBAE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5007751" y="6686531"/>
          <a:ext cx="822960" cy="822960"/>
        </a:xfrm>
        <a:prstGeom prst="rect">
          <a:avLst/>
        </a:prstGeom>
      </xdr:spPr>
    </xdr:pic>
    <xdr:clientData/>
  </xdr:twoCellAnchor>
  <xdr:twoCellAnchor editAs="oneCell">
    <xdr:from>
      <xdr:col>6</xdr:col>
      <xdr:colOff>139266</xdr:colOff>
      <xdr:row>37</xdr:row>
      <xdr:rowOff>85687</xdr:rowOff>
    </xdr:from>
    <xdr:to>
      <xdr:col>6</xdr:col>
      <xdr:colOff>962226</xdr:colOff>
      <xdr:row>42</xdr:row>
      <xdr:rowOff>15678</xdr:rowOff>
    </xdr:to>
    <xdr:pic>
      <xdr:nvPicPr>
        <xdr:cNvPr id="48" name="Picture 47">
          <a:extLst>
            <a:ext uri="{FF2B5EF4-FFF2-40B4-BE49-F238E27FC236}">
              <a16:creationId xmlns:a16="http://schemas.microsoft.com/office/drawing/2014/main" id="{B221E61B-2FFE-8172-7F7F-A8C977B3E79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996891" y="6693656"/>
          <a:ext cx="822960" cy="822960"/>
        </a:xfrm>
        <a:prstGeom prst="rect">
          <a:avLst/>
        </a:prstGeom>
      </xdr:spPr>
    </xdr:pic>
    <xdr:clientData/>
  </xdr:twoCellAnchor>
  <xdr:twoCellAnchor editAs="oneCell">
    <xdr:from>
      <xdr:col>5</xdr:col>
      <xdr:colOff>223780</xdr:colOff>
      <xdr:row>37</xdr:row>
      <xdr:rowOff>80905</xdr:rowOff>
    </xdr:from>
    <xdr:to>
      <xdr:col>5</xdr:col>
      <xdr:colOff>1046740</xdr:colOff>
      <xdr:row>42</xdr:row>
      <xdr:rowOff>10896</xdr:rowOff>
    </xdr:to>
    <xdr:pic>
      <xdr:nvPicPr>
        <xdr:cNvPr id="65" name="Picture 64">
          <a:extLst>
            <a:ext uri="{FF2B5EF4-FFF2-40B4-BE49-F238E27FC236}">
              <a16:creationId xmlns:a16="http://schemas.microsoft.com/office/drawing/2014/main" id="{31FCA8D7-A450-2FDB-77CC-9F1985D4761E}"/>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789578" y="6688874"/>
          <a:ext cx="822960" cy="822960"/>
        </a:xfrm>
        <a:prstGeom prst="rect">
          <a:avLst/>
        </a:prstGeom>
      </xdr:spPr>
    </xdr:pic>
    <xdr:clientData/>
  </xdr:twoCellAnchor>
  <xdr:twoCellAnchor editAs="oneCell">
    <xdr:from>
      <xdr:col>4</xdr:col>
      <xdr:colOff>70173</xdr:colOff>
      <xdr:row>37</xdr:row>
      <xdr:rowOff>70171</xdr:rowOff>
    </xdr:from>
    <xdr:to>
      <xdr:col>4</xdr:col>
      <xdr:colOff>883608</xdr:colOff>
      <xdr:row>42</xdr:row>
      <xdr:rowOff>162</xdr:rowOff>
    </xdr:to>
    <xdr:pic>
      <xdr:nvPicPr>
        <xdr:cNvPr id="68" name="Picture 67">
          <a:extLst>
            <a:ext uri="{FF2B5EF4-FFF2-40B4-BE49-F238E27FC236}">
              <a16:creationId xmlns:a16="http://schemas.microsoft.com/office/drawing/2014/main" id="{EA634B28-331F-D4A9-166A-361E40353F2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689423" y="6678140"/>
          <a:ext cx="822960" cy="822960"/>
        </a:xfrm>
        <a:prstGeom prst="rect">
          <a:avLst/>
        </a:prstGeom>
      </xdr:spPr>
    </xdr:pic>
    <xdr:clientData/>
  </xdr:twoCellAnchor>
  <xdr:twoCellAnchor>
    <xdr:from>
      <xdr:col>11</xdr:col>
      <xdr:colOff>23811</xdr:colOff>
      <xdr:row>11</xdr:row>
      <xdr:rowOff>173182</xdr:rowOff>
    </xdr:from>
    <xdr:to>
      <xdr:col>25</xdr:col>
      <xdr:colOff>1</xdr:colOff>
      <xdr:row>28</xdr:row>
      <xdr:rowOff>0</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D7F9313B-78E1-45FB-BF61-8590F2CF004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0704511" y="2268682"/>
              <a:ext cx="8180390" cy="306531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184950</xdr:colOff>
      <xdr:row>30</xdr:row>
      <xdr:rowOff>166689</xdr:rowOff>
    </xdr:from>
    <xdr:to>
      <xdr:col>3</xdr:col>
      <xdr:colOff>820</xdr:colOff>
      <xdr:row>33</xdr:row>
      <xdr:rowOff>107157</xdr:rowOff>
    </xdr:to>
    <xdr:pic macro="[0]!Reset">
      <xdr:nvPicPr>
        <xdr:cNvPr id="5" name="Picture 4">
          <a:extLst>
            <a:ext uri="{FF2B5EF4-FFF2-40B4-BE49-F238E27FC236}">
              <a16:creationId xmlns:a16="http://schemas.microsoft.com/office/drawing/2014/main" id="{732FD94B-C757-1ABC-31F2-2651D9D2AE0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184950" y="5702903"/>
          <a:ext cx="1356311" cy="49532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200025</xdr:colOff>
      <xdr:row>1</xdr:row>
      <xdr:rowOff>204787</xdr:rowOff>
    </xdr:from>
    <xdr:to>
      <xdr:col>1</xdr:col>
      <xdr:colOff>1165225</xdr:colOff>
      <xdr:row>5</xdr:row>
      <xdr:rowOff>65087</xdr:rowOff>
    </xdr:to>
    <xdr:pic macro="[0]!Home">
      <xdr:nvPicPr>
        <xdr:cNvPr id="5" name="Picture 4">
          <a:extLst>
            <a:ext uri="{FF2B5EF4-FFF2-40B4-BE49-F238E27FC236}">
              <a16:creationId xmlns:a16="http://schemas.microsoft.com/office/drawing/2014/main" id="{472B0189-0A12-5F1E-63C1-4592DD057FA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725" y="471487"/>
          <a:ext cx="965200" cy="9271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hith Reddy Kolanu" refreshedDate="45999.501362268522" createdVersion="8" refreshedVersion="8" minRefreshableVersion="3" recordCount="15" xr:uid="{9EE838E9-39A3-487C-A205-D86F5B2F0E21}">
  <cacheSource type="worksheet">
    <worksheetSource name="Table1"/>
  </cacheSource>
  <cacheFields count="16">
    <cacheField name="Rankings" numFmtId="1">
      <sharedItems containsSemiMixedTypes="0" containsString="0" containsNumber="1" containsInteger="1" minValue="1" maxValue="15"/>
    </cacheField>
    <cacheField name="State" numFmtId="0">
      <sharedItems count="15">
        <s v="Utah"/>
        <s v="New Hampshire"/>
        <s v="Nebraska"/>
        <s v="Minnesota"/>
        <s v="Idaho"/>
        <s v="Iowa"/>
        <s v="Vermont"/>
        <s v="Washington"/>
        <s v="Florida"/>
        <s v="Massachusetts"/>
        <s v="South Dakota"/>
        <s v="Wyoming"/>
        <s v="Virginia"/>
        <s v="New Jersey"/>
        <s v="North Dakota"/>
      </sharedItems>
    </cacheField>
    <cacheField name="Capital City" numFmtId="0">
      <sharedItems/>
    </cacheField>
    <cacheField name="Area (in SQ. MI.)" numFmtId="1">
      <sharedItems containsSemiMixedTypes="0" containsString="0" containsNumber="1" containsInteger="1" minValue="8719" maxValue="97810"/>
    </cacheField>
    <cacheField name="GDP (in Billions)" numFmtId="167">
      <sharedItems containsSemiMixedTypes="0" containsString="0" containsNumber="1" containsInteger="1" minValue="43" maxValue="1580"/>
    </cacheField>
    <cacheField name="Population" numFmtId="1">
      <sharedItems containsSemiMixedTypes="0" containsString="0" containsNumber="1" containsInteger="1" minValue="584057" maxValue="22610726"/>
    </cacheField>
    <cacheField name="Median Income" numFmtId="164">
      <sharedItems containsSemiMixedTypes="0" containsString="0" containsNumber="1" containsInteger="1" minValue="37395" maxValue="52528"/>
    </cacheField>
    <cacheField name="Job Growth Rate" numFmtId="10">
      <sharedItems containsSemiMixedTypes="0" containsString="0" containsNumber="1" minValue="0.01" maxValue="4.8000000000000001E-2"/>
    </cacheField>
    <cacheField name="Net Migration Rate" numFmtId="10">
      <sharedItems containsSemiMixedTypes="0" containsString="0" containsNumber="1" minValue="-1E-3" maxValue="1.7999999999999999E-2"/>
    </cacheField>
    <cacheField name="Obesity Rate" numFmtId="165">
      <sharedItems containsSemiMixedTypes="0" containsString="0" containsNumber="1" minValue="0.26400000000000001" maxValue="0.373"/>
    </cacheField>
    <cacheField name="Poverty Rate" numFmtId="165">
      <sharedItems containsSemiMixedTypes="0" containsString="0" containsNumber="1" minValue="7.1999999999999995E-2" maxValue="0.127"/>
    </cacheField>
    <cacheField name="Graduation Rate" numFmtId="10">
      <sharedItems containsSemiMixedTypes="0" containsString="0" containsNumber="1" minValue="0.41599999999999998" maxValue="0.54"/>
    </cacheField>
    <cacheField name="Air Quality Index" numFmtId="166">
      <sharedItems containsSemiMixedTypes="0" containsString="0" containsNumber="1" minValue="33.5" maxValue="51.2"/>
    </cacheField>
    <cacheField name="Average Cost of Living Index" numFmtId="166">
      <sharedItems containsSemiMixedTypes="0" containsString="0" containsNumber="1" minValue="89.06" maxValue="126.13"/>
    </cacheField>
    <cacheField name="Average Internet Speed (in MBPS)" numFmtId="166">
      <sharedItems containsSemiMixedTypes="0" containsString="0" containsNumber="1" minValue="191.7" maxValue="505.6"/>
    </cacheField>
    <cacheField name="Crime Rate" numFmtId="10">
      <sharedItems containsSemiMixedTypes="0" containsString="0" containsNumber="1" minValue="2.3439999999999999E-2" maxValue="5.7590000000000002E-2"/>
    </cacheField>
  </cacheFields>
  <extLst>
    <ext xmlns:x14="http://schemas.microsoft.com/office/spreadsheetml/2009/9/main" uri="{725AE2AE-9491-48be-B2B4-4EB974FC3084}">
      <x14:pivotCacheDefinition pivotCacheId="4626128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s v="Salt Lake City"/>
    <n v="84898"/>
    <n v="273"/>
    <n v="3417734"/>
    <n v="40959"/>
    <n v="3.6999999999999998E-2"/>
    <n v="6.0000000000000001E-3"/>
    <n v="0.313"/>
    <n v="8.2000000000000003E-2"/>
    <n v="0.47899999999999998"/>
    <n v="51.2"/>
    <n v="102.9"/>
    <n v="314.10000000000002"/>
    <n v="5.1900000000000002E-2"/>
  </r>
  <r>
    <n v="2"/>
    <x v="1"/>
    <s v="Concord"/>
    <n v="9350"/>
    <n v="111"/>
    <n v="1402054"/>
    <n v="49617"/>
    <n v="1.4999999999999999E-2"/>
    <n v="7.0000000000000001E-3"/>
    <n v="0.29799999999999999"/>
    <n v="7.1999999999999995E-2"/>
    <n v="0.50600000000000001"/>
    <n v="38.9"/>
    <n v="110.46"/>
    <n v="317.89999999999998"/>
    <n v="2.3439999999999999E-2"/>
  </r>
  <r>
    <n v="3"/>
    <x v="2"/>
    <s v="Lincoln"/>
    <n v="77347"/>
    <n v="178"/>
    <n v="1978379"/>
    <n v="41403"/>
    <n v="0.01"/>
    <n v="0"/>
    <n v="0.35099999999999998"/>
    <n v="0.112"/>
    <n v="0.46200000000000002"/>
    <n v="37"/>
    <n v="95.21"/>
    <n v="270"/>
    <n v="4.1520000000000001E-2"/>
  </r>
  <r>
    <n v="4"/>
    <x v="3"/>
    <s v="St. Paul"/>
    <n v="86943"/>
    <n v="472"/>
    <n v="5737915"/>
    <n v="47393"/>
    <n v="0.01"/>
    <n v="-1E-3"/>
    <n v="0.33900000000000002"/>
    <n v="9.6000000000000002E-2"/>
    <n v="0.51"/>
    <n v="38.299999999999997"/>
    <n v="93.48"/>
    <n v="304.2"/>
    <n v="4.5269999999999998E-2"/>
  </r>
  <r>
    <n v="5"/>
    <x v="4"/>
    <s v="Boise"/>
    <n v="83569"/>
    <n v="119"/>
    <n v="1964726"/>
    <n v="37395"/>
    <n v="3.1E-2"/>
    <n v="1.7999999999999999E-2"/>
    <n v="0.33200000000000002"/>
    <n v="0.107"/>
    <n v="0.42099999999999999"/>
    <n v="44.3"/>
    <n v="97.38"/>
    <n v="230.1"/>
    <n v="2.4660000000000001E-2"/>
  </r>
  <r>
    <n v="6"/>
    <x v="5"/>
    <s v="Des Moines"/>
    <n v="56273"/>
    <n v="249"/>
    <n v="3207004"/>
    <n v="41625"/>
    <n v="1.6E-2"/>
    <n v="1E-3"/>
    <n v="0.373"/>
    <n v="0.126"/>
    <n v="0.443"/>
    <n v="37.6"/>
    <n v="89.06"/>
    <n v="193.9"/>
    <n v="2.4660000000000001E-2"/>
  </r>
  <r>
    <n v="7"/>
    <x v="6"/>
    <s v="Montpelier"/>
    <n v="9615"/>
    <n v="43"/>
    <n v="647464"/>
    <n v="42147"/>
    <n v="2.3E-2"/>
    <n v="5.0000000000000001E-3"/>
    <n v="0.26400000000000001"/>
    <n v="0.104"/>
    <n v="0.53"/>
    <n v="38.5"/>
    <n v="112.39"/>
    <n v="408.2"/>
    <n v="2.6069999999999999E-2"/>
  </r>
  <r>
    <n v="8"/>
    <x v="7"/>
    <s v="Olympia"/>
    <n v="71301"/>
    <n v="802"/>
    <n v="7812880"/>
    <n v="51640"/>
    <n v="2.7E-2"/>
    <n v="2E-3"/>
    <n v="0.317"/>
    <n v="0.1"/>
    <n v="0.495"/>
    <n v="33.5"/>
    <n v="118.07"/>
    <n v="451"/>
    <n v="5.7590000000000002E-2"/>
  </r>
  <r>
    <n v="9"/>
    <x v="8"/>
    <s v="Tallahassee"/>
    <n v="71404"/>
    <n v="1580"/>
    <n v="22610726"/>
    <n v="39920"/>
    <n v="4.8000000000000001E-2"/>
    <n v="1.7000000000000001E-2"/>
    <n v="0.315"/>
    <n v="0.127"/>
    <n v="0.44500000000000001"/>
    <n v="38.9"/>
    <n v="109.35"/>
    <n v="322.3"/>
    <n v="3.9219999999999998E-2"/>
  </r>
  <r>
    <n v="10"/>
    <x v="9"/>
    <s v="Boston"/>
    <n v="10554"/>
    <n v="734"/>
    <n v="7001399"/>
    <n v="52528"/>
    <n v="2.1999999999999999E-2"/>
    <n v="-1E-3"/>
    <n v="0.26800000000000002"/>
    <n v="0.104"/>
    <n v="0.54"/>
    <n v="41.4"/>
    <n v="126.13"/>
    <n v="401.2"/>
    <n v="2.4150000000000001E-2"/>
  </r>
  <r>
    <n v="11"/>
    <x v="10"/>
    <s v="Pierre"/>
    <n v="77116"/>
    <n v="72"/>
    <n v="919318"/>
    <n v="40978"/>
    <n v="1.9E-2"/>
    <n v="8.9999999999999993E-3"/>
    <n v="0.37"/>
    <n v="0.125"/>
    <n v="0.44800000000000001"/>
    <n v="39.6"/>
    <n v="93.14"/>
    <n v="191.7"/>
    <n v="4.4150000000000002E-2"/>
  </r>
  <r>
    <n v="12"/>
    <x v="11"/>
    <s v="Cheyenne"/>
    <n v="97810"/>
    <n v="50"/>
    <n v="584057"/>
    <n v="39954"/>
    <n v="1.2E-2"/>
    <n v="4.0000000000000001E-3"/>
    <n v="0.34399999999999997"/>
    <n v="0.11799999999999999"/>
    <n v="0.41599999999999998"/>
    <n v="45"/>
    <n v="92.44"/>
    <n v="203.2"/>
    <n v="3.4549999999999997E-2"/>
  </r>
  <r>
    <n v="13"/>
    <x v="12"/>
    <s v="Richmond"/>
    <n v="42775"/>
    <n v="707"/>
    <n v="8715698"/>
    <n v="48178"/>
    <n v="0.03"/>
    <n v="2E-3"/>
    <n v="0.34799999999999998"/>
    <n v="0.106"/>
    <n v="0.498"/>
    <n v="45"/>
    <n v="102.85"/>
    <n v="505.6"/>
    <n v="3.1210000000000002E-2"/>
  </r>
  <r>
    <n v="14"/>
    <x v="13"/>
    <s v="Trenton"/>
    <n v="8719"/>
    <n v="799"/>
    <n v="9290841"/>
    <n v="51884"/>
    <n v="3.2000000000000001E-2"/>
    <n v="-1E-3"/>
    <n v="0.28799999999999998"/>
    <n v="9.7000000000000003E-2"/>
    <n v="0.502"/>
    <n v="44.1"/>
    <n v="111.04"/>
    <n v="427.8"/>
    <n v="2.512E-2"/>
  </r>
  <r>
    <n v="15"/>
    <x v="14"/>
    <s v="Bismarck"/>
    <n v="70699"/>
    <n v="74"/>
    <n v="783926"/>
    <n v="42807"/>
    <n v="1.7000000000000001E-2"/>
    <n v="-1E-3"/>
    <n v="0.35599999999999998"/>
    <n v="0.115"/>
    <n v="0.46"/>
    <n v="37"/>
    <n v="92.49"/>
    <n v="244.3"/>
    <n v="4.5769999999999998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7B0F58-12B8-45D0-96B0-8F144775E8F7}" name="PivotTable10"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6" rowHeaderCaption="State">
  <location ref="E13:J28" firstHeaderRow="0" firstDataRow="1" firstDataCol="1"/>
  <pivotFields count="16">
    <pivotField compact="0" numFmtId="1" outline="0" showAll="0"/>
    <pivotField axis="axisRow" compact="0" outline="0" showAll="0">
      <items count="16">
        <item x="8"/>
        <item x="4"/>
        <item x="5"/>
        <item x="9"/>
        <item x="3"/>
        <item x="2"/>
        <item x="1"/>
        <item x="13"/>
        <item x="14"/>
        <item x="10"/>
        <item x="0"/>
        <item x="6"/>
        <item x="12"/>
        <item x="7"/>
        <item x="11"/>
        <item t="default"/>
      </items>
    </pivotField>
    <pivotField compact="0" outline="0" showAll="0"/>
    <pivotField compact="0" outline="0" showAll="0"/>
    <pivotField dataField="1" compact="0" numFmtId="167" outline="0" showAll="0"/>
    <pivotField dataField="1" compact="0" numFmtId="1" outline="0" showAll="0"/>
    <pivotField dataField="1" compact="0" numFmtId="164" outline="0" showAll="0"/>
    <pivotField dataField="1" compact="0" numFmtId="10" outline="0" showAll="0"/>
    <pivotField dataField="1" compact="0" numFmtId="10" outline="0" showAll="0"/>
    <pivotField compact="0" numFmtId="165" outline="0" showAll="0"/>
    <pivotField compact="0" numFmtId="165" outline="0" showAll="0"/>
    <pivotField compact="0" numFmtId="10" outline="0" showAll="0"/>
    <pivotField compact="0" outline="0" showAll="0"/>
    <pivotField compact="0" numFmtId="166" outline="0" showAll="0"/>
    <pivotField compact="0" numFmtId="166" outline="0" showAll="0"/>
    <pivotField compact="0" numFmtId="10" outline="0" showAll="0"/>
  </pivotFields>
  <rowFields count="1">
    <field x="1"/>
  </rowFields>
  <rowItems count="15">
    <i>
      <x/>
    </i>
    <i>
      <x v="1"/>
    </i>
    <i>
      <x v="2"/>
    </i>
    <i>
      <x v="3"/>
    </i>
    <i>
      <x v="4"/>
    </i>
    <i>
      <x v="5"/>
    </i>
    <i>
      <x v="6"/>
    </i>
    <i>
      <x v="7"/>
    </i>
    <i>
      <x v="8"/>
    </i>
    <i>
      <x v="9"/>
    </i>
    <i>
      <x v="10"/>
    </i>
    <i>
      <x v="11"/>
    </i>
    <i>
      <x v="12"/>
    </i>
    <i>
      <x v="13"/>
    </i>
    <i>
      <x v="14"/>
    </i>
  </rowItems>
  <colFields count="1">
    <field x="-2"/>
  </colFields>
  <colItems count="5">
    <i>
      <x/>
    </i>
    <i i="1">
      <x v="1"/>
    </i>
    <i i="2">
      <x v="2"/>
    </i>
    <i i="3">
      <x v="3"/>
    </i>
    <i i="4">
      <x v="4"/>
    </i>
  </colItems>
  <dataFields count="5">
    <dataField name="Total GDP (in Billions)" fld="4" baseField="1" baseItem="0" numFmtId="167"/>
    <dataField name="Total Population" fld="5" baseField="1" baseItem="0" numFmtId="4"/>
    <dataField name="Average Income" fld="6" subtotal="average" baseField="1" baseItem="0" numFmtId="164"/>
    <dataField name="Average Job Growth Rate" fld="7" subtotal="average" baseField="1" baseItem="0" numFmtId="10"/>
    <dataField name="Average Migration Rate" fld="8" subtotal="average" baseField="1" baseItem="0" numFmtId="10"/>
  </dataFields>
  <formats count="46">
    <format dxfId="153">
      <pivotArea type="all" dataOnly="0" outline="0" fieldPosition="0"/>
    </format>
    <format dxfId="152">
      <pivotArea outline="0" collapsedLevelsAreSubtotals="1" fieldPosition="0"/>
    </format>
    <format dxfId="151">
      <pivotArea type="all" dataOnly="0" outline="0" fieldPosition="0"/>
    </format>
    <format dxfId="150">
      <pivotArea outline="0" collapsedLevelsAreSubtotals="1" fieldPosition="0"/>
    </format>
    <format dxfId="149">
      <pivotArea field="1" type="button" dataOnly="0" labelOnly="1" outline="0" axis="axisRow" fieldPosition="0"/>
    </format>
    <format dxfId="148">
      <pivotArea dataOnly="0" labelOnly="1" fieldPosition="0">
        <references count="1">
          <reference field="1" count="0"/>
        </references>
      </pivotArea>
    </format>
    <format dxfId="147">
      <pivotArea dataOnly="0" labelOnly="1" outline="0" fieldPosition="0">
        <references count="1">
          <reference field="4294967294" count="5">
            <x v="0"/>
            <x v="1"/>
            <x v="2"/>
            <x v="3"/>
            <x v="4"/>
          </reference>
        </references>
      </pivotArea>
    </format>
    <format dxfId="146">
      <pivotArea field="1" type="button" dataOnly="0" labelOnly="1" outline="0" axis="axisRow" fieldPosition="0"/>
    </format>
    <format dxfId="145">
      <pivotArea dataOnly="0" labelOnly="1" outline="0" fieldPosition="0">
        <references count="1">
          <reference field="4294967294" count="5">
            <x v="0"/>
            <x v="1"/>
            <x v="2"/>
            <x v="3"/>
            <x v="4"/>
          </reference>
        </references>
      </pivotArea>
    </format>
    <format dxfId="144">
      <pivotArea dataOnly="0" labelOnly="1" fieldPosition="0">
        <references count="1">
          <reference field="1" count="0"/>
        </references>
      </pivotArea>
    </format>
    <format dxfId="143">
      <pivotArea field="1" type="button" dataOnly="0" labelOnly="1" outline="0" axis="axisRow" fieldPosition="0"/>
    </format>
    <format dxfId="142">
      <pivotArea dataOnly="0" labelOnly="1" outline="0" fieldPosition="0">
        <references count="1">
          <reference field="4294967294" count="5">
            <x v="0"/>
            <x v="1"/>
            <x v="2"/>
            <x v="3"/>
            <x v="4"/>
          </reference>
        </references>
      </pivotArea>
    </format>
    <format dxfId="141">
      <pivotArea field="1" type="button" dataOnly="0" labelOnly="1" outline="0" axis="axisRow" fieldPosition="0"/>
    </format>
    <format dxfId="140">
      <pivotArea dataOnly="0" labelOnly="1" outline="0" fieldPosition="0">
        <references count="1">
          <reference field="4294967294" count="5">
            <x v="0"/>
            <x v="1"/>
            <x v="2"/>
            <x v="3"/>
            <x v="4"/>
          </reference>
        </references>
      </pivotArea>
    </format>
    <format dxfId="139">
      <pivotArea outline="0" fieldPosition="0">
        <references count="1">
          <reference field="4294967294" count="1" selected="0">
            <x v="1"/>
          </reference>
        </references>
      </pivotArea>
    </format>
    <format dxfId="138">
      <pivotArea type="all" dataOnly="0" outline="0" fieldPosition="0"/>
    </format>
    <format dxfId="137">
      <pivotArea outline="0" collapsedLevelsAreSubtotals="1" fieldPosition="0"/>
    </format>
    <format dxfId="136">
      <pivotArea field="1" type="button" dataOnly="0" labelOnly="1" outline="0" axis="axisRow" fieldPosition="0"/>
    </format>
    <format dxfId="135">
      <pivotArea dataOnly="0" labelOnly="1" outline="0" fieldPosition="0">
        <references count="1">
          <reference field="1" count="0"/>
        </references>
      </pivotArea>
    </format>
    <format dxfId="134">
      <pivotArea dataOnly="0" labelOnly="1" outline="0" fieldPosition="0">
        <references count="1">
          <reference field="4294967294" count="5">
            <x v="0"/>
            <x v="1"/>
            <x v="2"/>
            <x v="3"/>
            <x v="4"/>
          </reference>
        </references>
      </pivotArea>
    </format>
    <format dxfId="133">
      <pivotArea field="1" type="button" dataOnly="0" labelOnly="1" outline="0" axis="axisRow" fieldPosition="0"/>
    </format>
    <format dxfId="132">
      <pivotArea dataOnly="0" labelOnly="1" outline="0" fieldPosition="0">
        <references count="1">
          <reference field="4294967294" count="5">
            <x v="0"/>
            <x v="1"/>
            <x v="2"/>
            <x v="3"/>
            <x v="4"/>
          </reference>
        </references>
      </pivotArea>
    </format>
    <format dxfId="131">
      <pivotArea outline="0" collapsedLevelsAreSubtotals="1" fieldPosition="0"/>
    </format>
    <format dxfId="130">
      <pivotArea dataOnly="0" labelOnly="1" outline="0" fieldPosition="0">
        <references count="1">
          <reference field="1" count="0"/>
        </references>
      </pivotArea>
    </format>
    <format dxfId="129">
      <pivotArea dataOnly="0" labelOnly="1" outline="0" fieldPosition="0">
        <references count="1">
          <reference field="1" count="0"/>
        </references>
      </pivotArea>
    </format>
    <format dxfId="128">
      <pivotArea outline="0" collapsedLevelsAreSubtotals="1" fieldPosition="0"/>
    </format>
    <format dxfId="127">
      <pivotArea type="all" dataOnly="0" outline="0" fieldPosition="0"/>
    </format>
    <format dxfId="126">
      <pivotArea outline="0" collapsedLevelsAreSubtotals="1" fieldPosition="0"/>
    </format>
    <format dxfId="125">
      <pivotArea field="1" type="button" dataOnly="0" labelOnly="1" outline="0" axis="axisRow" fieldPosition="0"/>
    </format>
    <format dxfId="124">
      <pivotArea dataOnly="0" labelOnly="1" outline="0" fieldPosition="0">
        <references count="1">
          <reference field="1" count="0"/>
        </references>
      </pivotArea>
    </format>
    <format dxfId="123">
      <pivotArea dataOnly="0" labelOnly="1" outline="0" fieldPosition="0">
        <references count="1">
          <reference field="4294967294" count="5">
            <x v="0"/>
            <x v="1"/>
            <x v="2"/>
            <x v="3"/>
            <x v="4"/>
          </reference>
        </references>
      </pivotArea>
    </format>
    <format dxfId="122">
      <pivotArea type="all" dataOnly="0" outline="0" fieldPosition="0"/>
    </format>
    <format dxfId="121">
      <pivotArea outline="0" collapsedLevelsAreSubtotals="1" fieldPosition="0"/>
    </format>
    <format dxfId="120">
      <pivotArea field="1" type="button" dataOnly="0" labelOnly="1" outline="0" axis="axisRow" fieldPosition="0"/>
    </format>
    <format dxfId="119">
      <pivotArea dataOnly="0" labelOnly="1" outline="0" fieldPosition="0">
        <references count="1">
          <reference field="1" count="0"/>
        </references>
      </pivotArea>
    </format>
    <format dxfId="118">
      <pivotArea dataOnly="0" labelOnly="1" outline="0" fieldPosition="0">
        <references count="1">
          <reference field="4294967294" count="5">
            <x v="0"/>
            <x v="1"/>
            <x v="2"/>
            <x v="3"/>
            <x v="4"/>
          </reference>
        </references>
      </pivotArea>
    </format>
    <format dxfId="117">
      <pivotArea type="all" dataOnly="0" outline="0" fieldPosition="0"/>
    </format>
    <format dxfId="116">
      <pivotArea outline="0" collapsedLevelsAreSubtotals="1" fieldPosition="0"/>
    </format>
    <format dxfId="115">
      <pivotArea field="1" type="button" dataOnly="0" labelOnly="1" outline="0" axis="axisRow" fieldPosition="0"/>
    </format>
    <format dxfId="114">
      <pivotArea dataOnly="0" labelOnly="1" outline="0" fieldPosition="0">
        <references count="1">
          <reference field="1" count="0"/>
        </references>
      </pivotArea>
    </format>
    <format dxfId="113">
      <pivotArea dataOnly="0" labelOnly="1" outline="0" fieldPosition="0">
        <references count="1">
          <reference field="4294967294" count="5">
            <x v="0"/>
            <x v="1"/>
            <x v="2"/>
            <x v="3"/>
            <x v="4"/>
          </reference>
        </references>
      </pivotArea>
    </format>
    <format dxfId="112">
      <pivotArea type="all" dataOnly="0" outline="0" fieldPosition="0"/>
    </format>
    <format dxfId="111">
      <pivotArea outline="0" collapsedLevelsAreSubtotals="1" fieldPosition="0"/>
    </format>
    <format dxfId="110">
      <pivotArea field="1" type="button" dataOnly="0" labelOnly="1" outline="0" axis="axisRow" fieldPosition="0"/>
    </format>
    <format dxfId="109">
      <pivotArea dataOnly="0" labelOnly="1" outline="0" fieldPosition="0">
        <references count="1">
          <reference field="1" count="0"/>
        </references>
      </pivotArea>
    </format>
    <format dxfId="108">
      <pivotArea dataOnly="0" labelOnly="1" outline="0" fieldPosition="0">
        <references count="1">
          <reference field="4294967294" count="5">
            <x v="0"/>
            <x v="1"/>
            <x v="2"/>
            <x v="3"/>
            <x v="4"/>
          </reference>
        </references>
      </pivotArea>
    </format>
  </formats>
  <conditionalFormats count="5">
    <conditionalFormat priority="1">
      <pivotAreas count="1">
        <pivotArea type="data" outline="0" collapsedLevelsAreSubtotals="1" fieldPosition="0">
          <references count="1">
            <reference field="4294967294" count="1" selected="0">
              <x v="2"/>
            </reference>
          </references>
        </pivotArea>
      </pivotAreas>
    </conditionalFormat>
    <conditionalFormat priority="2">
      <pivotAreas count="1">
        <pivotArea type="data" outline="0" collapsedLevelsAreSubtotals="1" fieldPosition="0">
          <references count="1">
            <reference field="4294967294" count="1" selected="0">
              <x v="4"/>
            </reference>
          </references>
        </pivotArea>
      </pivotAreas>
    </conditionalFormat>
    <conditionalFormat priority="3">
      <pivotAreas count="1">
        <pivotArea type="data" outline="0" collapsedLevelsAreSubtotals="1" fieldPosition="0">
          <references count="1">
            <reference field="4294967294" count="1" selected="0">
              <x v="3"/>
            </reference>
          </references>
        </pivotArea>
      </pivotAreas>
    </conditionalFormat>
    <conditionalFormat priority="4">
      <pivotAreas count="1">
        <pivotArea type="data" outline="0" collapsedLevelsAreSubtotals="1" fieldPosition="0">
          <references count="1">
            <reference field="4294967294" count="1" selected="0">
              <x v="1"/>
            </reference>
          </references>
        </pivotArea>
      </pivotAreas>
    </conditionalFormat>
    <conditionalFormat priority="5">
      <pivotAreas count="1">
        <pivotArea type="data" outline="0" collapsedLevelsAreSubtotals="1" fieldPosition="0">
          <references count="1">
            <reference field="4294967294" count="1" selected="0">
              <x v="0"/>
            </reference>
          </references>
        </pivotArea>
      </pivotAreas>
    </conditionalFormat>
  </conditionalFormat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C6AB51D-7833-42A2-AA6B-F4BC39347B5D}" name="PivotTable2"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2:E3" firstHeaderRow="0" firstDataRow="1" firstDataCol="0"/>
  <pivotFields count="16">
    <pivotField numFmtId="1" showAll="0"/>
    <pivotField showAll="0">
      <items count="16">
        <item x="8"/>
        <item x="4"/>
        <item x="5"/>
        <item x="9"/>
        <item x="3"/>
        <item x="2"/>
        <item x="1"/>
        <item x="13"/>
        <item x="14"/>
        <item x="10"/>
        <item x="0"/>
        <item x="6"/>
        <item x="12"/>
        <item x="7"/>
        <item x="11"/>
        <item t="default"/>
      </items>
    </pivotField>
    <pivotField showAll="0"/>
    <pivotField showAll="0"/>
    <pivotField dataField="1" numFmtId="167" showAll="0"/>
    <pivotField dataField="1" numFmtId="1" showAll="0"/>
    <pivotField dataField="1" numFmtId="164" showAll="0"/>
    <pivotField dataField="1" numFmtId="10" showAll="0"/>
    <pivotField dataField="1" numFmtId="10" showAll="0"/>
    <pivotField numFmtId="165" showAll="0"/>
    <pivotField numFmtId="165" showAll="0"/>
    <pivotField numFmtId="10" showAll="0"/>
    <pivotField showAll="0"/>
    <pivotField numFmtId="166" showAll="0"/>
    <pivotField numFmtId="166" showAll="0"/>
    <pivotField numFmtId="10" showAll="0"/>
  </pivotFields>
  <rowItems count="1">
    <i/>
  </rowItems>
  <colFields count="1">
    <field x="-2"/>
  </colFields>
  <colItems count="5">
    <i>
      <x/>
    </i>
    <i i="1">
      <x v="1"/>
    </i>
    <i i="2">
      <x v="2"/>
    </i>
    <i i="3">
      <x v="3"/>
    </i>
    <i i="4">
      <x v="4"/>
    </i>
  </colItems>
  <dataFields count="5">
    <dataField name="Total GDP (in Billions)" fld="4" baseField="0" baseItem="1" numFmtId="167"/>
    <dataField name="Total Population" fld="5" baseField="0" baseItem="1" numFmtId="1"/>
    <dataField name="Average Income" fld="6" subtotal="average" baseField="0" baseItem="2" numFmtId="164"/>
    <dataField name="Average Job Growth Rate" fld="7" subtotal="average" baseField="0" baseItem="3" numFmtId="10"/>
    <dataField name="Average Migration Rate" fld="8" subtotal="average" baseField="0" baseItem="4" numFmtId="10"/>
  </dataFields>
  <formats count="6">
    <format dxfId="39">
      <pivotArea type="all" dataOnly="0" outline="0" fieldPosition="0"/>
    </format>
    <format dxfId="38">
      <pivotArea outline="0" collapsedLevelsAreSubtotals="1" fieldPosition="0"/>
    </format>
    <format dxfId="37">
      <pivotArea dataOnly="0" labelOnly="1" outline="0" fieldPosition="0">
        <references count="1">
          <reference field="4294967294" count="5">
            <x v="0"/>
            <x v="1"/>
            <x v="2"/>
            <x v="3"/>
            <x v="4"/>
          </reference>
        </references>
      </pivotArea>
    </format>
    <format dxfId="36">
      <pivotArea type="all" dataOnly="0" outline="0" fieldPosition="0"/>
    </format>
    <format dxfId="35">
      <pivotArea outline="0" collapsedLevelsAreSubtotals="1" fieldPosition="0"/>
    </format>
    <format dxfId="34">
      <pivotArea dataOnly="0" labelOnly="1" outline="0" fieldPosition="0">
        <references count="1">
          <reference field="4294967294" count="5">
            <x v="0"/>
            <x v="1"/>
            <x v="2"/>
            <x v="3"/>
            <x v="4"/>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FA09AA-750C-4E85-931D-C36541E6AB89}" name="PivotTable6"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39:B54"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dataField="1"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Obesity Rate " fld="9" baseField="1" baseItem="0" numFmtId="165"/>
  </dataFields>
  <formats count="10">
    <format dxfId="49">
      <pivotArea type="all" dataOnly="0" outline="0" fieldPosition="0"/>
    </format>
    <format dxfId="48">
      <pivotArea outline="0" collapsedLevelsAreSubtotals="1" fieldPosition="0"/>
    </format>
    <format dxfId="47">
      <pivotArea field="1" type="button" dataOnly="0" labelOnly="1" outline="0" axis="axisRow" fieldPosition="0"/>
    </format>
    <format dxfId="46">
      <pivotArea dataOnly="0" labelOnly="1" fieldPosition="0">
        <references count="1">
          <reference field="1" count="0"/>
        </references>
      </pivotArea>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1" type="button" dataOnly="0" labelOnly="1" outline="0" axis="axisRow" fieldPosition="0"/>
    </format>
    <format dxfId="41">
      <pivotArea dataOnly="0" labelOnly="1" fieldPosition="0">
        <references count="1">
          <reference field="1" count="0"/>
        </references>
      </pivotArea>
    </format>
    <format dxfId="40">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115F10-95D2-4EA5-9EFB-84E538AB3F68}" name="PivotTable5"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rowHeaderCaption="State">
  <location ref="A22:C37"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dataField="1" numFmtId="165" showAll="0"/>
    <pivotField numFmtId="10" showAll="0"/>
    <pivotField showAll="0"/>
    <pivotField numFmtId="166" showAll="0"/>
    <pivotField numFmtId="166" showAll="0"/>
    <pivotField dataField="1"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Poverty Rate " fld="10" baseField="1" baseItem="0" numFmtId="165"/>
    <dataField name="Crime Rate " fld="15" baseField="1" baseItem="0" numFmtId="10"/>
  </dataFields>
  <formats count="10">
    <format dxfId="59">
      <pivotArea type="all" dataOnly="0" outline="0" fieldPosition="0"/>
    </format>
    <format dxfId="58">
      <pivotArea outline="0" collapsedLevelsAreSubtotals="1" fieldPosition="0"/>
    </format>
    <format dxfId="57">
      <pivotArea field="1" type="button" dataOnly="0" labelOnly="1" outline="0" axis="axisRow" fieldPosition="0"/>
    </format>
    <format dxfId="56">
      <pivotArea dataOnly="0" labelOnly="1" fieldPosition="0">
        <references count="1">
          <reference field="1" count="0"/>
        </references>
      </pivotArea>
    </format>
    <format dxfId="55">
      <pivotArea dataOnly="0" labelOnly="1" outline="0" fieldPosition="0">
        <references count="1">
          <reference field="4294967294" count="2">
            <x v="0"/>
            <x v="1"/>
          </reference>
        </references>
      </pivotArea>
    </format>
    <format dxfId="54">
      <pivotArea type="all" dataOnly="0" outline="0" fieldPosition="0"/>
    </format>
    <format dxfId="53">
      <pivotArea outline="0" collapsedLevelsAreSubtotals="1" fieldPosition="0"/>
    </format>
    <format dxfId="52">
      <pivotArea field="1" type="button" dataOnly="0" labelOnly="1" outline="0" axis="axisRow" fieldPosition="0"/>
    </format>
    <format dxfId="51">
      <pivotArea dataOnly="0" labelOnly="1" fieldPosition="0">
        <references count="1">
          <reference field="1" count="0"/>
        </references>
      </pivotArea>
    </format>
    <format dxfId="50">
      <pivotArea dataOnly="0" labelOnly="1" outline="0" fieldPosition="0">
        <references count="1">
          <reference field="4294967294" count="2">
            <x v="0"/>
            <x v="1"/>
          </reference>
        </references>
      </pivotArea>
    </format>
  </formats>
  <chartFormats count="2">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C135A0E-1468-4F8C-BBF4-157D6DE260A1}" name="PivotTable3"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2" rowHeaderCaption="State">
  <location ref="A5:B20"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dataField="1"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Total Area (in SQ. MI.)" fld="3" baseField="1" baseItem="0"/>
  </dataFields>
  <formats count="10">
    <format dxfId="69">
      <pivotArea type="all" dataOnly="0" outline="0" fieldPosition="0"/>
    </format>
    <format dxfId="68">
      <pivotArea outline="0" collapsedLevelsAreSubtotals="1" fieldPosition="0"/>
    </format>
    <format dxfId="67">
      <pivotArea field="1" type="button" dataOnly="0" labelOnly="1" outline="0" axis="axisRow" fieldPosition="0"/>
    </format>
    <format dxfId="66">
      <pivotArea dataOnly="0" labelOnly="1" fieldPosition="0">
        <references count="1">
          <reference field="1" count="0"/>
        </references>
      </pivotArea>
    </format>
    <format dxfId="65">
      <pivotArea dataOnly="0" labelOnly="1" outline="0" axis="axisValues" fieldPosition="0"/>
    </format>
    <format dxfId="64">
      <pivotArea type="all" dataOnly="0" outline="0" fieldPosition="0"/>
    </format>
    <format dxfId="63">
      <pivotArea outline="0" collapsedLevelsAreSubtotals="1" fieldPosition="0"/>
    </format>
    <format dxfId="62">
      <pivotArea field="1" type="button" dataOnly="0" labelOnly="1" outline="0" axis="axisRow" fieldPosition="0"/>
    </format>
    <format dxfId="61">
      <pivotArea dataOnly="0" labelOnly="1" fieldPosition="0">
        <references count="1">
          <reference field="1" count="0"/>
        </references>
      </pivotArea>
    </format>
    <format dxfId="60">
      <pivotArea dataOnly="0" labelOnly="1" outline="0" axis="axisValues" fieldPosition="0"/>
    </format>
  </formats>
  <chartFormats count="1">
    <chartFormat chart="46" format="2"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E43E709-4CE7-465B-BD83-630C365527EA}" name="PivotTable7"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tate">
  <location ref="A56:C71" firstHeaderRow="0"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dataField="1" numFmtId="10" showAll="0"/>
    <pivotField showAll="0"/>
    <pivotField dataField="1"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Fields count="1">
    <field x="-2"/>
  </colFields>
  <colItems count="2">
    <i>
      <x/>
    </i>
    <i i="1">
      <x v="1"/>
    </i>
  </colItems>
  <dataFields count="2">
    <dataField name="Average Cost of Living Index " fld="13" baseField="1" baseItem="0" numFmtId="166"/>
    <dataField name="Graduation Rate " fld="11" baseField="1" baseItem="0" numFmtId="10"/>
  </dataFields>
  <formats count="10">
    <format dxfId="79">
      <pivotArea type="all" dataOnly="0" outline="0" fieldPosition="0"/>
    </format>
    <format dxfId="78">
      <pivotArea outline="0" collapsedLevelsAreSubtotals="1" fieldPosition="0"/>
    </format>
    <format dxfId="77">
      <pivotArea field="1" type="button" dataOnly="0" labelOnly="1" outline="0" axis="axisRow" fieldPosition="0"/>
    </format>
    <format dxfId="76">
      <pivotArea dataOnly="0" labelOnly="1" fieldPosition="0">
        <references count="1">
          <reference field="1" count="0"/>
        </references>
      </pivotArea>
    </format>
    <format dxfId="75">
      <pivotArea dataOnly="0" labelOnly="1" outline="0" fieldPosition="0">
        <references count="1">
          <reference field="4294967294" count="2">
            <x v="0"/>
            <x v="1"/>
          </reference>
        </references>
      </pivotArea>
    </format>
    <format dxfId="74">
      <pivotArea type="all" dataOnly="0" outline="0" fieldPosition="0"/>
    </format>
    <format dxfId="73">
      <pivotArea outline="0" collapsedLevelsAreSubtotals="1" fieldPosition="0"/>
    </format>
    <format dxfId="72">
      <pivotArea field="1" type="button" dataOnly="0" labelOnly="1" outline="0" axis="axisRow" fieldPosition="0"/>
    </format>
    <format dxfId="71">
      <pivotArea dataOnly="0" labelOnly="1" fieldPosition="0">
        <references count="1">
          <reference field="1" count="0"/>
        </references>
      </pivotArea>
    </format>
    <format dxfId="70">
      <pivotArea dataOnly="0" labelOnly="1" outline="0" fieldPosition="0">
        <references count="1">
          <reference field="4294967294" count="2">
            <x v="0"/>
            <x v="1"/>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9E93486-04A2-4B2F-94AE-67DE153653F0}" name="PivotTable1"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107:B122"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dataField="1"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Average Air Quality Index" fld="12" subtotal="average" baseField="1" baseItem="0"/>
  </dataFields>
  <formats count="8">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fieldPosition="0">
        <references count="1">
          <reference field="1" count="0"/>
        </references>
      </pivotArea>
    </format>
    <format dxfId="83">
      <pivotArea type="all" dataOnly="0" outline="0" fieldPosition="0"/>
    </format>
    <format dxfId="82">
      <pivotArea outline="0" collapsedLevelsAreSubtotals="1" fieldPosition="0"/>
    </format>
    <format dxfId="81">
      <pivotArea field="1" type="button" dataOnly="0" labelOnly="1" outline="0" axis="axisRow" fieldPosition="0"/>
    </format>
    <format dxfId="80">
      <pivotArea dataOnly="0" labelOnly="1" fieldPosition="0">
        <references count="1">
          <reference field="1" count="0"/>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F726F60-6592-42C7-A7C2-56847BD170AD}" name="PivotTable9"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rowHeaderCaption="State">
  <location ref="A90:B105" firstHeaderRow="1" firstDataRow="1" firstDataCol="1"/>
  <pivotFields count="16">
    <pivotField dataField="1" numFmtId="1" showAll="0"/>
    <pivotField axis="axisRow" showAll="0" sortType="ascending">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 Rankings" fld="0" baseField="1" baseItem="0" numFmtId="1"/>
  </dataFields>
  <formats count="10">
    <format dxfId="97">
      <pivotArea type="all" dataOnly="0" outline="0" fieldPosition="0"/>
    </format>
    <format dxfId="96">
      <pivotArea outline="0" collapsedLevelsAreSubtotals="1" fieldPosition="0"/>
    </format>
    <format dxfId="95">
      <pivotArea field="1" type="button" dataOnly="0" labelOnly="1" outline="0" axis="axisRow" fieldPosition="0"/>
    </format>
    <format dxfId="94">
      <pivotArea dataOnly="0" labelOnly="1" fieldPosition="0">
        <references count="1">
          <reference field="1" count="0"/>
        </references>
      </pivotArea>
    </format>
    <format dxfId="93">
      <pivotArea dataOnly="0" labelOnly="1" outline="0" axis="axisValues" fieldPosition="0"/>
    </format>
    <format dxfId="92">
      <pivotArea type="all" dataOnly="0" outline="0" fieldPosition="0"/>
    </format>
    <format dxfId="91">
      <pivotArea outline="0" collapsedLevelsAreSubtotals="1" fieldPosition="0"/>
    </format>
    <format dxfId="90">
      <pivotArea field="1" type="button" dataOnly="0" labelOnly="1" outline="0" axis="axisRow" fieldPosition="0"/>
    </format>
    <format dxfId="89">
      <pivotArea dataOnly="0" labelOnly="1" fieldPosition="0">
        <references count="1">
          <reference field="1" count="0"/>
        </references>
      </pivotArea>
    </format>
    <format dxfId="88">
      <pivotArea dataOnly="0" labelOnly="1" outline="0" axis="axisValues" fieldPosition="0"/>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7A45C2-08F2-42FD-8E31-72825D93FA7A}" name="PivotTable8"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tate">
  <location ref="A73:B88" firstHeaderRow="1" firstDataRow="1" firstDataCol="1"/>
  <pivotFields count="16">
    <pivotField numFmtId="1" showAll="0"/>
    <pivotField axis="axisRow" showAll="0">
      <items count="16">
        <item x="8"/>
        <item x="4"/>
        <item x="5"/>
        <item x="9"/>
        <item x="3"/>
        <item x="2"/>
        <item x="1"/>
        <item x="13"/>
        <item x="14"/>
        <item x="10"/>
        <item x="0"/>
        <item x="6"/>
        <item x="12"/>
        <item x="7"/>
        <item x="11"/>
        <item t="default"/>
      </items>
    </pivotField>
    <pivotField showAll="0"/>
    <pivotField showAll="0"/>
    <pivotField numFmtId="167" showAll="0"/>
    <pivotField numFmtId="1" showAll="0"/>
    <pivotField numFmtId="164" showAll="0"/>
    <pivotField numFmtId="10" showAll="0"/>
    <pivotField numFmtId="10" showAll="0"/>
    <pivotField numFmtId="165" showAll="0"/>
    <pivotField numFmtId="165" showAll="0"/>
    <pivotField numFmtId="10" showAll="0"/>
    <pivotField showAll="0"/>
    <pivotField numFmtId="166" showAll="0"/>
    <pivotField dataField="1" numFmtId="166" showAll="0"/>
    <pivotField numFmtId="10" showAll="0"/>
  </pivotFields>
  <rowFields count="1">
    <field x="1"/>
  </rowFields>
  <rowItems count="15">
    <i>
      <x/>
    </i>
    <i>
      <x v="1"/>
    </i>
    <i>
      <x v="2"/>
    </i>
    <i>
      <x v="3"/>
    </i>
    <i>
      <x v="4"/>
    </i>
    <i>
      <x v="5"/>
    </i>
    <i>
      <x v="6"/>
    </i>
    <i>
      <x v="7"/>
    </i>
    <i>
      <x v="8"/>
    </i>
    <i>
      <x v="9"/>
    </i>
    <i>
      <x v="10"/>
    </i>
    <i>
      <x v="11"/>
    </i>
    <i>
      <x v="12"/>
    </i>
    <i>
      <x v="13"/>
    </i>
    <i>
      <x v="14"/>
    </i>
  </rowItems>
  <colItems count="1">
    <i/>
  </colItems>
  <dataFields count="1">
    <dataField name="Average Internet Speed (in MBPS) " fld="14" baseField="1" baseItem="0" numFmtId="166"/>
  </dataFields>
  <formats count="10">
    <format dxfId="107">
      <pivotArea type="all" dataOnly="0" outline="0" fieldPosition="0"/>
    </format>
    <format dxfId="106">
      <pivotArea outline="0" collapsedLevelsAreSubtotals="1" fieldPosition="0"/>
    </format>
    <format dxfId="105">
      <pivotArea field="1" type="button" dataOnly="0" labelOnly="1" outline="0" axis="axisRow" fieldPosition="0"/>
    </format>
    <format dxfId="104">
      <pivotArea dataOnly="0" labelOnly="1" fieldPosition="0">
        <references count="1">
          <reference field="1" count="0"/>
        </references>
      </pivotArea>
    </format>
    <format dxfId="103">
      <pivotArea dataOnly="0" labelOnly="1" outline="0" fieldPosition="0">
        <references count="1">
          <reference field="4294967294" count="1">
            <x v="0"/>
          </reference>
        </references>
      </pivotArea>
    </format>
    <format dxfId="102">
      <pivotArea type="all" dataOnly="0" outline="0" fieldPosition="0"/>
    </format>
    <format dxfId="101">
      <pivotArea outline="0" collapsedLevelsAreSubtotals="1" fieldPosition="0"/>
    </format>
    <format dxfId="100">
      <pivotArea field="1" type="button" dataOnly="0" labelOnly="1" outline="0" axis="axisRow" fieldPosition="0"/>
    </format>
    <format dxfId="99">
      <pivotArea dataOnly="0" labelOnly="1" fieldPosition="0">
        <references count="1">
          <reference field="1" count="0"/>
        </references>
      </pivotArea>
    </format>
    <format dxfId="98">
      <pivotArea dataOnly="0" labelOnly="1" outline="0" fieldPosition="0">
        <references count="1">
          <reference field="4294967294" count="1">
            <x v="0"/>
          </reference>
        </references>
      </pivotArea>
    </format>
  </formats>
  <pivotTableStyleInfo name="PivotStyleDark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170F3A90-EB58-4E72-B774-C8EEBB7226ED}" sourceName="State">
  <pivotTables>
    <pivotTable tabId="11" name="PivotTable2"/>
    <pivotTable tabId="11" name="PivotTable8"/>
  </pivotTables>
  <data>
    <tabular pivotCacheId="462612815">
      <items count="15">
        <i x="8" s="1"/>
        <i x="4" s="1"/>
        <i x="5" s="1"/>
        <i x="9" s="1"/>
        <i x="3" s="1"/>
        <i x="2" s="1"/>
        <i x="1" s="1"/>
        <i x="13" s="1"/>
        <i x="14" s="1"/>
        <i x="10" s="1"/>
        <i x="0" s="1"/>
        <i x="6" s="1"/>
        <i x="12" s="1"/>
        <i x="7"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8F974D8-B4A9-4508-8E80-46E295E521FF}" cache="Slicer_State" caption="State" style="SlicerStyleDark1"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69639A9-812A-463B-90AE-4F8511275A58}" name="Table1" displayName="Table1" ref="A1:P16" totalsRowShown="0" headerRowDxfId="33" dataDxfId="32">
  <autoFilter ref="A1:P16" xr:uid="{669639A9-812A-463B-90AE-4F8511275A58}"/>
  <tableColumns count="16">
    <tableColumn id="1" xr3:uid="{57292A3A-EEE8-4301-A210-EAB1F54216DC}" name="Rankings" dataDxfId="31"/>
    <tableColumn id="2" xr3:uid="{68E42384-987A-42C5-AF82-06D457040E25}" name="State" dataDxfId="30"/>
    <tableColumn id="3" xr3:uid="{6ED4CD34-880E-4E6B-9353-98CCFBA5CC3D}" name="Capital City" dataDxfId="29"/>
    <tableColumn id="4" xr3:uid="{BDADDE00-E40A-40FA-AFC3-613193BA267B}" name="Area (in SQ. MI.)" dataDxfId="28"/>
    <tableColumn id="5" xr3:uid="{413512E5-559A-49C1-8C67-060C11E7D550}" name="GDP (in Billions)" dataDxfId="27"/>
    <tableColumn id="6" xr3:uid="{3B69644B-18A8-4E71-921C-384F67DF2735}" name="Population" dataDxfId="26"/>
    <tableColumn id="7" xr3:uid="{EE0DA327-6D5A-4797-8C1C-9CE5DC01E5E6}" name="Median Income" dataDxfId="25"/>
    <tableColumn id="8" xr3:uid="{27183A92-3AC4-4F36-845C-3EAE3D643AE3}" name="Job Growth Rate" dataDxfId="24"/>
    <tableColumn id="9" xr3:uid="{B6C5E385-3547-4550-80F4-503A483798E5}" name="Net Migration Rate" dataDxfId="23"/>
    <tableColumn id="10" xr3:uid="{2FEE4597-3966-40EB-9F87-C6A6B8004EA0}" name="Obesity Rate" dataDxfId="22"/>
    <tableColumn id="11" xr3:uid="{06A98F74-FEFD-4E41-9E3B-CB6E882A51E8}" name="Poverty Rate" dataDxfId="21"/>
    <tableColumn id="12" xr3:uid="{8A44BFC8-50E7-4F78-B2F7-A2BA21A45F5E}" name="Graduation Rate" dataDxfId="20"/>
    <tableColumn id="13" xr3:uid="{7AEB1B28-199F-4441-AF3D-6024D59FFB2C}" name="Air Quality Index" dataDxfId="19"/>
    <tableColumn id="14" xr3:uid="{55C5838A-63F5-4EFC-BC9D-89AD58CB1519}" name="Average Cost of Living Index" dataDxfId="18"/>
    <tableColumn id="15" xr3:uid="{122A19B7-E745-4224-877C-2D8D96F0CB05}" name="Average Internet Speed (in MBPS)" dataDxfId="17"/>
    <tableColumn id="16" xr3:uid="{E5E7CFAB-7124-477E-83B2-29762BCAD612}" name="Crime Rate" dataDxfId="16"/>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hyperlink" Target="https://worldpopulationreview.com/state-rankings/crime-rate-by-state" TargetMode="External"/><Relationship Id="rId2" Type="http://schemas.openxmlformats.org/officeDocument/2006/relationships/hyperlink" Target="https://worldpopulationreview.com/state-rankings/air-quality-by-state" TargetMode="External"/><Relationship Id="rId1" Type="http://schemas.openxmlformats.org/officeDocument/2006/relationships/hyperlink" Target="https://www.usnews.com/news/best-states/rankings" TargetMode="External"/><Relationship Id="rId5" Type="http://schemas.openxmlformats.org/officeDocument/2006/relationships/drawing" Target="../drawings/drawing2.xml"/><Relationship Id="rId4" Type="http://schemas.openxmlformats.org/officeDocument/2006/relationships/hyperlink" Target="https://www.insure.com/cost-of-living-by-state.html" TargetMode="Externa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9.xml"/><Relationship Id="rId3" Type="http://schemas.openxmlformats.org/officeDocument/2006/relationships/pivotTable" Target="../pivotTables/pivotTable4.xml"/><Relationship Id="rId7" Type="http://schemas.openxmlformats.org/officeDocument/2006/relationships/pivotTable" Target="../pivotTables/pivotTable8.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ivotTable" Target="../pivotTables/pivotTable7.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www.usnews.com/news/best-states/rankings"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orldpopulationreview.com/state-rankings/air-quality-by-state"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orldpopulationreview.com/state-rankings/crime-rate-by-state"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www.insure.com/cost-of-living-by-stat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B941-F653-4257-A237-027C945BD98E}">
  <sheetPr codeName="Sheet1"/>
  <dimension ref="A1:Z46"/>
  <sheetViews>
    <sheetView showGridLines="0" tabSelected="1" zoomScale="110" zoomScaleNormal="110" zoomScaleSheetLayoutView="100" workbookViewId="0"/>
  </sheetViews>
  <sheetFormatPr baseColWidth="10" defaultColWidth="8.83203125" defaultRowHeight="15" x14ac:dyDescent="0.2"/>
  <cols>
    <col min="1" max="1" width="2.5" style="50" customWidth="1"/>
    <col min="2" max="3" width="8.83203125" style="50"/>
    <col min="4" max="4" width="2.5" style="50" customWidth="1"/>
    <col min="5" max="5" width="15.6640625" style="50" bestFit="1" customWidth="1"/>
    <col min="6" max="6" width="21" style="50" bestFit="1" customWidth="1"/>
    <col min="7" max="8" width="15.6640625" style="50" bestFit="1" customWidth="1"/>
    <col min="9" max="9" width="24.33203125" style="50" bestFit="1" customWidth="1"/>
    <col min="10" max="10" width="22.6640625" style="50" bestFit="1" customWidth="1"/>
    <col min="11" max="11" width="2.5" style="50" customWidth="1"/>
    <col min="12" max="17" width="8.83203125" style="50"/>
    <col min="18" max="18" width="2.5" style="50" customWidth="1"/>
    <col min="19" max="23" width="8.83203125" style="50"/>
    <col min="24" max="24" width="5.5" style="50" customWidth="1"/>
    <col min="25" max="26" width="2.5" style="50" customWidth="1"/>
    <col min="27" max="16384" width="8.83203125" style="50"/>
  </cols>
  <sheetData>
    <row r="1" spans="1:26" x14ac:dyDescent="0.2">
      <c r="A1" s="60"/>
      <c r="B1" s="60"/>
      <c r="C1" s="60"/>
      <c r="D1" s="60"/>
      <c r="E1" s="60"/>
      <c r="F1" s="60"/>
      <c r="G1" s="60"/>
      <c r="H1" s="60"/>
      <c r="I1" s="60"/>
      <c r="J1" s="60"/>
      <c r="K1" s="60"/>
      <c r="L1" s="60"/>
      <c r="M1" s="60"/>
      <c r="N1" s="60"/>
      <c r="O1" s="60"/>
      <c r="P1" s="60"/>
      <c r="Q1" s="60"/>
      <c r="R1" s="60"/>
      <c r="S1" s="60"/>
      <c r="T1" s="60"/>
      <c r="U1" s="60"/>
      <c r="V1" s="60"/>
      <c r="W1" s="60"/>
      <c r="X1" s="60"/>
      <c r="Y1" s="60"/>
      <c r="Z1" s="60"/>
    </row>
    <row r="2" spans="1:26" x14ac:dyDescent="0.2">
      <c r="A2" s="60"/>
      <c r="B2" s="60"/>
      <c r="C2" s="60"/>
      <c r="D2" s="60"/>
      <c r="E2" s="60"/>
      <c r="F2" s="60"/>
      <c r="G2" s="60"/>
      <c r="H2" s="60"/>
      <c r="I2" s="60"/>
      <c r="J2" s="60"/>
      <c r="K2" s="60"/>
      <c r="L2" s="60"/>
      <c r="M2" s="60"/>
      <c r="N2" s="60"/>
      <c r="O2" s="60"/>
      <c r="P2" s="60"/>
      <c r="Q2" s="60"/>
      <c r="R2" s="60"/>
      <c r="S2" s="60"/>
      <c r="T2" s="60"/>
      <c r="U2" s="60"/>
      <c r="V2" s="60"/>
      <c r="W2" s="60"/>
      <c r="X2" s="60"/>
      <c r="Y2" s="60"/>
      <c r="Z2" s="60"/>
    </row>
    <row r="3" spans="1:26" x14ac:dyDescent="0.2">
      <c r="A3" s="60"/>
      <c r="B3" s="60"/>
      <c r="C3" s="60"/>
      <c r="D3" s="60"/>
      <c r="E3" s="60"/>
      <c r="F3" s="60"/>
      <c r="G3" s="60"/>
      <c r="H3" s="60"/>
      <c r="I3" s="60"/>
      <c r="J3" s="60"/>
      <c r="K3" s="60"/>
      <c r="L3" s="60"/>
      <c r="M3" s="60"/>
      <c r="N3" s="60"/>
      <c r="O3" s="60"/>
      <c r="P3" s="60"/>
      <c r="Q3" s="60"/>
      <c r="R3" s="60"/>
      <c r="S3" s="60"/>
      <c r="T3" s="60"/>
      <c r="U3" s="60"/>
      <c r="V3" s="60"/>
      <c r="W3" s="60"/>
      <c r="X3" s="60"/>
      <c r="Y3" s="60"/>
      <c r="Z3" s="60"/>
    </row>
    <row r="4" spans="1:26" x14ac:dyDescent="0.2">
      <c r="A4" s="60"/>
      <c r="B4" s="60"/>
      <c r="C4" s="60"/>
      <c r="D4" s="60"/>
      <c r="E4" s="60"/>
      <c r="F4" s="60"/>
      <c r="G4" s="60"/>
      <c r="H4" s="60"/>
      <c r="I4" s="60"/>
      <c r="J4" s="60"/>
      <c r="K4" s="60"/>
      <c r="L4" s="60"/>
      <c r="M4" s="60"/>
      <c r="N4" s="60"/>
      <c r="O4" s="60"/>
      <c r="P4" s="60"/>
      <c r="Q4" s="60"/>
      <c r="R4" s="60"/>
      <c r="S4" s="60"/>
      <c r="T4" s="60"/>
      <c r="U4" s="60"/>
      <c r="V4" s="60"/>
      <c r="W4" s="60"/>
      <c r="X4" s="60"/>
      <c r="Y4" s="60"/>
      <c r="Z4" s="60"/>
    </row>
    <row r="5" spans="1:26" x14ac:dyDescent="0.2">
      <c r="A5" s="60"/>
      <c r="B5" s="60"/>
      <c r="C5" s="60"/>
      <c r="D5" s="60"/>
      <c r="E5" s="60"/>
      <c r="F5" s="60"/>
      <c r="G5" s="60"/>
      <c r="H5" s="60"/>
      <c r="I5" s="60"/>
      <c r="J5" s="60"/>
      <c r="K5" s="60"/>
      <c r="L5" s="60"/>
      <c r="M5" s="60"/>
      <c r="N5" s="60"/>
      <c r="O5" s="60"/>
      <c r="P5" s="60"/>
      <c r="Q5" s="60"/>
      <c r="R5" s="60"/>
      <c r="S5" s="60"/>
      <c r="T5" s="60"/>
      <c r="U5" s="60"/>
      <c r="V5" s="60"/>
      <c r="W5" s="60"/>
      <c r="X5" s="60"/>
      <c r="Y5" s="60"/>
      <c r="Z5" s="60"/>
    </row>
    <row r="6" spans="1:26" x14ac:dyDescent="0.2">
      <c r="A6" s="60"/>
      <c r="B6" s="60"/>
      <c r="C6" s="60"/>
      <c r="D6" s="60"/>
      <c r="E6" s="60"/>
      <c r="F6" s="60"/>
      <c r="G6" s="60"/>
      <c r="H6" s="60"/>
      <c r="I6" s="60"/>
      <c r="J6" s="60"/>
      <c r="K6" s="60"/>
      <c r="L6" s="60"/>
      <c r="M6" s="60"/>
      <c r="N6" s="60"/>
      <c r="O6" s="60"/>
      <c r="P6" s="60"/>
      <c r="Q6" s="60"/>
      <c r="R6" s="60"/>
      <c r="S6" s="60"/>
      <c r="T6" s="60"/>
      <c r="U6" s="60"/>
      <c r="V6" s="60"/>
      <c r="W6" s="60"/>
      <c r="X6" s="60"/>
      <c r="Y6" s="60"/>
      <c r="Z6" s="60"/>
    </row>
    <row r="7" spans="1:26" x14ac:dyDescent="0.2">
      <c r="A7" s="60"/>
      <c r="B7" s="60"/>
      <c r="C7" s="60"/>
      <c r="D7" s="60"/>
      <c r="E7" s="60"/>
      <c r="F7" s="60"/>
      <c r="G7" s="60"/>
      <c r="H7" s="60"/>
      <c r="I7" s="60"/>
      <c r="J7" s="60"/>
      <c r="K7" s="60"/>
      <c r="L7" s="60"/>
      <c r="M7" s="60"/>
      <c r="N7" s="60"/>
      <c r="O7" s="60"/>
      <c r="P7" s="60"/>
      <c r="Q7" s="60"/>
      <c r="R7" s="60"/>
      <c r="S7" s="60"/>
      <c r="T7" s="60"/>
      <c r="U7" s="60"/>
      <c r="V7" s="60"/>
      <c r="W7" s="60"/>
      <c r="X7" s="60"/>
      <c r="Y7" s="60"/>
      <c r="Z7" s="60"/>
    </row>
    <row r="8" spans="1:26" x14ac:dyDescent="0.2">
      <c r="A8" s="60"/>
      <c r="B8" s="60"/>
      <c r="C8" s="60"/>
      <c r="D8" s="60"/>
      <c r="E8" s="60"/>
      <c r="F8" s="60"/>
      <c r="G8" s="60"/>
      <c r="H8" s="60"/>
      <c r="I8" s="60"/>
      <c r="J8" s="60"/>
      <c r="K8" s="60"/>
      <c r="L8" s="60"/>
      <c r="M8" s="60"/>
      <c r="N8" s="60"/>
      <c r="O8" s="60"/>
      <c r="P8" s="60"/>
      <c r="Q8" s="60"/>
      <c r="R8" s="60"/>
      <c r="S8" s="60"/>
      <c r="T8" s="60"/>
      <c r="U8" s="60"/>
      <c r="V8" s="60"/>
      <c r="W8" s="60"/>
      <c r="X8" s="60"/>
      <c r="Y8" s="60"/>
      <c r="Z8" s="60"/>
    </row>
    <row r="9" spans="1:26" x14ac:dyDescent="0.2">
      <c r="A9" s="60"/>
      <c r="B9" s="60"/>
      <c r="C9" s="60"/>
      <c r="D9" s="60"/>
      <c r="E9" s="60"/>
      <c r="F9" s="60"/>
      <c r="G9" s="60"/>
      <c r="H9" s="60"/>
      <c r="I9" s="60"/>
      <c r="J9" s="60"/>
      <c r="K9" s="60"/>
      <c r="L9" s="60"/>
      <c r="M9" s="60"/>
      <c r="N9" s="60"/>
      <c r="O9" s="60"/>
      <c r="P9" s="60"/>
      <c r="Q9" s="60"/>
      <c r="R9" s="60"/>
      <c r="S9" s="60"/>
      <c r="T9" s="60"/>
      <c r="U9" s="60"/>
      <c r="V9" s="60"/>
      <c r="W9" s="60"/>
      <c r="X9" s="60"/>
      <c r="Y9" s="60"/>
      <c r="Z9" s="60"/>
    </row>
    <row r="10" spans="1:26" x14ac:dyDescent="0.2">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row>
    <row r="11" spans="1:26" x14ac:dyDescent="0.2">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row>
    <row r="12" spans="1:26" x14ac:dyDescent="0.2">
      <c r="A12" s="60"/>
      <c r="B12" s="60"/>
      <c r="C12" s="60"/>
      <c r="D12" s="60"/>
      <c r="E12" s="60"/>
      <c r="F12" s="60"/>
      <c r="G12" s="60"/>
      <c r="H12" s="60"/>
      <c r="I12" s="60"/>
      <c r="J12" s="60"/>
      <c r="K12" s="60"/>
      <c r="L12" s="60"/>
      <c r="M12" s="60"/>
      <c r="N12" s="60"/>
      <c r="O12" s="60"/>
      <c r="P12" s="60"/>
      <c r="Q12" s="60"/>
      <c r="R12" s="60"/>
      <c r="S12" s="60"/>
      <c r="T12" s="60"/>
      <c r="U12" s="60"/>
      <c r="V12" s="60"/>
      <c r="W12" s="60"/>
      <c r="X12" s="60"/>
      <c r="Y12" s="60"/>
      <c r="Z12" s="60"/>
    </row>
    <row r="13" spans="1:26" x14ac:dyDescent="0.2">
      <c r="A13" s="60"/>
      <c r="B13" s="60"/>
      <c r="C13" s="60"/>
      <c r="D13" s="60"/>
      <c r="E13" s="51" t="s">
        <v>0</v>
      </c>
      <c r="F13" s="51" t="s">
        <v>48</v>
      </c>
      <c r="G13" s="51" t="s">
        <v>49</v>
      </c>
      <c r="H13" s="51" t="s">
        <v>50</v>
      </c>
      <c r="I13" s="51" t="s">
        <v>51</v>
      </c>
      <c r="J13" s="51" t="s">
        <v>52</v>
      </c>
      <c r="K13" s="60"/>
      <c r="L13" s="60"/>
      <c r="M13" s="60"/>
      <c r="N13" s="60"/>
      <c r="O13" s="60"/>
      <c r="P13" s="60"/>
      <c r="Q13" s="60"/>
      <c r="R13" s="60"/>
      <c r="S13" s="60"/>
      <c r="T13" s="60"/>
      <c r="U13" s="60"/>
      <c r="V13" s="60"/>
      <c r="W13" s="60"/>
      <c r="X13" s="60"/>
      <c r="Y13" s="60"/>
      <c r="Z13" s="60"/>
    </row>
    <row r="14" spans="1:26" x14ac:dyDescent="0.2">
      <c r="A14" s="60"/>
      <c r="B14" s="60"/>
      <c r="C14" s="60"/>
      <c r="D14" s="60"/>
      <c r="E14" s="52" t="s">
        <v>21</v>
      </c>
      <c r="F14" s="53">
        <v>1580</v>
      </c>
      <c r="G14" s="54">
        <v>22610726</v>
      </c>
      <c r="H14" s="55">
        <v>39920</v>
      </c>
      <c r="I14" s="56">
        <v>4.8000000000000001E-2</v>
      </c>
      <c r="J14" s="56">
        <v>1.7000000000000001E-2</v>
      </c>
      <c r="K14" s="60"/>
      <c r="L14" s="60"/>
      <c r="M14" s="60"/>
      <c r="N14" s="60"/>
      <c r="O14" s="60"/>
      <c r="P14" s="60"/>
      <c r="Q14" s="60"/>
      <c r="R14" s="60"/>
      <c r="S14" s="60"/>
      <c r="T14" s="60"/>
      <c r="U14" s="60"/>
      <c r="V14" s="60"/>
      <c r="W14" s="60"/>
      <c r="X14" s="60"/>
      <c r="Y14" s="60"/>
      <c r="Z14" s="60"/>
    </row>
    <row r="15" spans="1:26" x14ac:dyDescent="0.2">
      <c r="A15" s="60"/>
      <c r="B15" s="60"/>
      <c r="C15" s="60"/>
      <c r="D15" s="60"/>
      <c r="E15" s="52" t="s">
        <v>17</v>
      </c>
      <c r="F15" s="53">
        <v>119</v>
      </c>
      <c r="G15" s="54">
        <v>1964726</v>
      </c>
      <c r="H15" s="55">
        <v>37395</v>
      </c>
      <c r="I15" s="56">
        <v>3.1E-2</v>
      </c>
      <c r="J15" s="56">
        <v>1.7999999999999999E-2</v>
      </c>
      <c r="K15" s="60"/>
      <c r="L15" s="60"/>
      <c r="M15" s="60"/>
      <c r="N15" s="60"/>
      <c r="O15" s="60"/>
      <c r="P15" s="60"/>
      <c r="Q15" s="60"/>
      <c r="R15" s="60"/>
      <c r="S15" s="60"/>
      <c r="T15" s="60"/>
      <c r="U15" s="60"/>
      <c r="V15" s="60"/>
      <c r="W15" s="60"/>
      <c r="X15" s="60"/>
      <c r="Y15" s="60"/>
      <c r="Z15" s="60"/>
    </row>
    <row r="16" spans="1:26" x14ac:dyDescent="0.2">
      <c r="A16" s="60"/>
      <c r="B16" s="60"/>
      <c r="C16" s="60"/>
      <c r="D16" s="60"/>
      <c r="E16" s="52" t="s">
        <v>18</v>
      </c>
      <c r="F16" s="53">
        <v>249</v>
      </c>
      <c r="G16" s="54">
        <v>3207004</v>
      </c>
      <c r="H16" s="55">
        <v>41625</v>
      </c>
      <c r="I16" s="56">
        <v>1.6E-2</v>
      </c>
      <c r="J16" s="56">
        <v>1E-3</v>
      </c>
      <c r="K16" s="60"/>
      <c r="L16" s="60"/>
      <c r="M16" s="60"/>
      <c r="N16" s="60"/>
      <c r="O16" s="60"/>
      <c r="P16" s="60"/>
      <c r="Q16" s="60"/>
      <c r="R16" s="60"/>
      <c r="S16" s="60"/>
      <c r="T16" s="60"/>
      <c r="U16" s="60"/>
      <c r="V16" s="60"/>
      <c r="W16" s="60"/>
      <c r="X16" s="60"/>
      <c r="Y16" s="60"/>
      <c r="Z16" s="60"/>
    </row>
    <row r="17" spans="1:26" x14ac:dyDescent="0.2">
      <c r="A17" s="60"/>
      <c r="B17" s="60"/>
      <c r="C17" s="60"/>
      <c r="D17" s="60"/>
      <c r="E17" s="52" t="s">
        <v>22</v>
      </c>
      <c r="F17" s="53">
        <v>734</v>
      </c>
      <c r="G17" s="54">
        <v>7001399</v>
      </c>
      <c r="H17" s="55">
        <v>52528</v>
      </c>
      <c r="I17" s="56">
        <v>2.1999999999999999E-2</v>
      </c>
      <c r="J17" s="56">
        <v>-1E-3</v>
      </c>
      <c r="K17" s="60"/>
      <c r="L17" s="60"/>
      <c r="M17" s="60"/>
      <c r="N17" s="60"/>
      <c r="O17" s="60"/>
      <c r="P17" s="60"/>
      <c r="Q17" s="60"/>
      <c r="R17" s="60"/>
      <c r="S17" s="60"/>
      <c r="T17" s="60"/>
      <c r="U17" s="60"/>
      <c r="V17" s="60"/>
      <c r="W17" s="60"/>
      <c r="X17" s="60"/>
      <c r="Y17" s="60"/>
      <c r="Z17" s="60"/>
    </row>
    <row r="18" spans="1:26" x14ac:dyDescent="0.2">
      <c r="A18" s="60"/>
      <c r="B18" s="60"/>
      <c r="C18" s="60"/>
      <c r="D18" s="60"/>
      <c r="E18" s="52" t="s">
        <v>16</v>
      </c>
      <c r="F18" s="53">
        <v>472</v>
      </c>
      <c r="G18" s="54">
        <v>5737915</v>
      </c>
      <c r="H18" s="55">
        <v>47393</v>
      </c>
      <c r="I18" s="56">
        <v>0.01</v>
      </c>
      <c r="J18" s="56">
        <v>-1E-3</v>
      </c>
      <c r="K18" s="60"/>
      <c r="L18" s="60"/>
      <c r="M18" s="60"/>
      <c r="N18" s="60"/>
      <c r="O18" s="60"/>
      <c r="P18" s="60"/>
      <c r="Q18" s="60"/>
      <c r="R18" s="60"/>
      <c r="S18" s="60"/>
      <c r="T18" s="60"/>
      <c r="U18" s="60"/>
      <c r="V18" s="60"/>
      <c r="W18" s="60"/>
      <c r="X18" s="60"/>
      <c r="Y18" s="60"/>
      <c r="Z18" s="60"/>
    </row>
    <row r="19" spans="1:26" x14ac:dyDescent="0.2">
      <c r="A19" s="60"/>
      <c r="B19" s="60"/>
      <c r="C19" s="60"/>
      <c r="D19" s="60"/>
      <c r="E19" s="52" t="s">
        <v>15</v>
      </c>
      <c r="F19" s="53">
        <v>178</v>
      </c>
      <c r="G19" s="54">
        <v>1978379</v>
      </c>
      <c r="H19" s="55">
        <v>41403</v>
      </c>
      <c r="I19" s="56">
        <v>0.01</v>
      </c>
      <c r="J19" s="56">
        <v>0</v>
      </c>
      <c r="K19" s="60"/>
      <c r="L19" s="60"/>
      <c r="M19" s="60"/>
      <c r="N19" s="60"/>
      <c r="O19" s="60"/>
      <c r="P19" s="60"/>
      <c r="Q19" s="60"/>
      <c r="R19" s="60"/>
      <c r="S19" s="60"/>
      <c r="T19" s="60"/>
      <c r="U19" s="60"/>
      <c r="V19" s="60"/>
      <c r="W19" s="60"/>
      <c r="X19" s="60"/>
      <c r="Y19" s="60"/>
      <c r="Z19" s="60"/>
    </row>
    <row r="20" spans="1:26" x14ac:dyDescent="0.2">
      <c r="A20" s="60"/>
      <c r="B20" s="60"/>
      <c r="C20" s="60"/>
      <c r="D20" s="60"/>
      <c r="E20" s="52" t="s">
        <v>10</v>
      </c>
      <c r="F20" s="53">
        <v>111</v>
      </c>
      <c r="G20" s="54">
        <v>1402054</v>
      </c>
      <c r="H20" s="55">
        <v>49617</v>
      </c>
      <c r="I20" s="56">
        <v>1.4999999999999999E-2</v>
      </c>
      <c r="J20" s="56">
        <v>7.0000000000000001E-3</v>
      </c>
      <c r="K20" s="60"/>
      <c r="L20" s="60"/>
      <c r="M20" s="60"/>
      <c r="N20" s="60"/>
      <c r="O20" s="60"/>
      <c r="P20" s="60"/>
      <c r="Q20" s="60"/>
      <c r="R20" s="60"/>
      <c r="S20" s="60"/>
      <c r="T20" s="60"/>
      <c r="U20" s="60"/>
      <c r="V20" s="60"/>
      <c r="W20" s="60"/>
      <c r="X20" s="60"/>
      <c r="Y20" s="60"/>
      <c r="Z20" s="60"/>
    </row>
    <row r="21" spans="1:26" x14ac:dyDescent="0.2">
      <c r="A21" s="60"/>
      <c r="B21" s="60"/>
      <c r="C21" s="60"/>
      <c r="D21" s="60"/>
      <c r="E21" s="52" t="s">
        <v>26</v>
      </c>
      <c r="F21" s="53">
        <v>799</v>
      </c>
      <c r="G21" s="54">
        <v>9290841</v>
      </c>
      <c r="H21" s="55">
        <v>51884</v>
      </c>
      <c r="I21" s="56">
        <v>3.2000000000000001E-2</v>
      </c>
      <c r="J21" s="56">
        <v>-1E-3</v>
      </c>
      <c r="K21" s="60"/>
      <c r="L21" s="60"/>
      <c r="M21" s="60"/>
      <c r="N21" s="60"/>
      <c r="O21" s="60"/>
      <c r="P21" s="60"/>
      <c r="Q21" s="60"/>
      <c r="R21" s="60"/>
      <c r="S21" s="60"/>
      <c r="T21" s="60"/>
      <c r="U21" s="60"/>
      <c r="V21" s="60"/>
      <c r="W21" s="60"/>
      <c r="X21" s="60"/>
      <c r="Y21" s="60"/>
      <c r="Z21" s="60"/>
    </row>
    <row r="22" spans="1:26" x14ac:dyDescent="0.2">
      <c r="A22" s="60"/>
      <c r="B22" s="60"/>
      <c r="C22" s="60"/>
      <c r="D22" s="60"/>
      <c r="E22" s="52" t="s">
        <v>27</v>
      </c>
      <c r="F22" s="53">
        <v>74</v>
      </c>
      <c r="G22" s="54">
        <v>783926</v>
      </c>
      <c r="H22" s="55">
        <v>42807</v>
      </c>
      <c r="I22" s="56">
        <v>1.7000000000000001E-2</v>
      </c>
      <c r="J22" s="56">
        <v>-1E-3</v>
      </c>
      <c r="K22" s="60"/>
      <c r="L22" s="60"/>
      <c r="M22" s="60"/>
      <c r="N22" s="60"/>
      <c r="O22" s="60"/>
      <c r="P22" s="60"/>
      <c r="Q22" s="60"/>
      <c r="R22" s="60"/>
      <c r="S22" s="60"/>
      <c r="T22" s="60"/>
      <c r="U22" s="60"/>
      <c r="V22" s="60"/>
      <c r="W22" s="60"/>
      <c r="X22" s="60"/>
      <c r="Y22" s="60"/>
      <c r="Z22" s="60"/>
    </row>
    <row r="23" spans="1:26" x14ac:dyDescent="0.2">
      <c r="A23" s="60"/>
      <c r="B23" s="60"/>
      <c r="C23" s="60"/>
      <c r="D23" s="60"/>
      <c r="E23" s="52" t="s">
        <v>23</v>
      </c>
      <c r="F23" s="53">
        <v>72</v>
      </c>
      <c r="G23" s="54">
        <v>919318</v>
      </c>
      <c r="H23" s="55">
        <v>40978</v>
      </c>
      <c r="I23" s="56">
        <v>1.9E-2</v>
      </c>
      <c r="J23" s="56">
        <v>8.9999999999999993E-3</v>
      </c>
      <c r="K23" s="60"/>
      <c r="L23" s="60"/>
      <c r="M23" s="60"/>
      <c r="N23" s="60"/>
      <c r="O23" s="60"/>
      <c r="P23" s="60"/>
      <c r="Q23" s="60"/>
      <c r="R23" s="60"/>
      <c r="S23" s="60"/>
      <c r="T23" s="60"/>
      <c r="U23" s="60"/>
      <c r="V23" s="60"/>
      <c r="W23" s="60"/>
      <c r="X23" s="60"/>
      <c r="Y23" s="60"/>
      <c r="Z23" s="60"/>
    </row>
    <row r="24" spans="1:26" x14ac:dyDescent="0.2">
      <c r="A24" s="60"/>
      <c r="B24" s="60"/>
      <c r="C24" s="60"/>
      <c r="D24" s="60"/>
      <c r="E24" s="52" t="s">
        <v>1</v>
      </c>
      <c r="F24" s="53">
        <v>273</v>
      </c>
      <c r="G24" s="54">
        <v>3417734</v>
      </c>
      <c r="H24" s="55">
        <v>40959</v>
      </c>
      <c r="I24" s="56">
        <v>3.6999999999999998E-2</v>
      </c>
      <c r="J24" s="56">
        <v>6.0000000000000001E-3</v>
      </c>
      <c r="K24" s="60"/>
      <c r="L24" s="60"/>
      <c r="M24" s="60"/>
      <c r="N24" s="60"/>
      <c r="O24" s="60"/>
      <c r="P24" s="60"/>
      <c r="Q24" s="60"/>
      <c r="R24" s="60"/>
      <c r="S24" s="60"/>
      <c r="T24" s="60"/>
      <c r="U24" s="60"/>
      <c r="V24" s="60"/>
      <c r="W24" s="60"/>
      <c r="X24" s="60"/>
      <c r="Y24" s="60"/>
      <c r="Z24" s="60"/>
    </row>
    <row r="25" spans="1:26" x14ac:dyDescent="0.2">
      <c r="A25" s="60"/>
      <c r="B25" s="60"/>
      <c r="C25" s="60"/>
      <c r="D25" s="60"/>
      <c r="E25" s="52" t="s">
        <v>19</v>
      </c>
      <c r="F25" s="53">
        <v>43</v>
      </c>
      <c r="G25" s="54">
        <v>647464</v>
      </c>
      <c r="H25" s="55">
        <v>42147</v>
      </c>
      <c r="I25" s="56">
        <v>2.3E-2</v>
      </c>
      <c r="J25" s="56">
        <v>5.0000000000000001E-3</v>
      </c>
      <c r="K25" s="60"/>
      <c r="L25" s="60"/>
      <c r="M25" s="60"/>
      <c r="N25" s="60"/>
      <c r="O25" s="60"/>
      <c r="P25" s="60"/>
      <c r="Q25" s="60"/>
      <c r="R25" s="60"/>
      <c r="S25" s="60"/>
      <c r="T25" s="60"/>
      <c r="U25" s="60"/>
      <c r="V25" s="60"/>
      <c r="W25" s="60"/>
      <c r="X25" s="60"/>
      <c r="Y25" s="60"/>
      <c r="Z25" s="60"/>
    </row>
    <row r="26" spans="1:26" x14ac:dyDescent="0.2">
      <c r="A26" s="60"/>
      <c r="B26" s="60"/>
      <c r="C26" s="60"/>
      <c r="D26" s="60"/>
      <c r="E26" s="52" t="s">
        <v>25</v>
      </c>
      <c r="F26" s="53">
        <v>707</v>
      </c>
      <c r="G26" s="54">
        <v>8715698</v>
      </c>
      <c r="H26" s="55">
        <v>48178</v>
      </c>
      <c r="I26" s="56">
        <v>0.03</v>
      </c>
      <c r="J26" s="56">
        <v>2E-3</v>
      </c>
      <c r="K26" s="60"/>
      <c r="L26" s="60"/>
      <c r="M26" s="60"/>
      <c r="N26" s="60"/>
      <c r="O26" s="60"/>
      <c r="P26" s="60"/>
      <c r="Q26" s="60"/>
      <c r="R26" s="60"/>
      <c r="S26" s="60"/>
      <c r="T26" s="60"/>
      <c r="U26" s="60"/>
      <c r="V26" s="60"/>
      <c r="W26" s="60"/>
      <c r="X26" s="60"/>
      <c r="Y26" s="60"/>
      <c r="Z26" s="60"/>
    </row>
    <row r="27" spans="1:26" x14ac:dyDescent="0.2">
      <c r="A27" s="60"/>
      <c r="B27" s="60"/>
      <c r="C27" s="60"/>
      <c r="D27" s="60"/>
      <c r="E27" s="52" t="s">
        <v>20</v>
      </c>
      <c r="F27" s="53">
        <v>802</v>
      </c>
      <c r="G27" s="54">
        <v>7812880</v>
      </c>
      <c r="H27" s="55">
        <v>51640</v>
      </c>
      <c r="I27" s="56">
        <v>2.7E-2</v>
      </c>
      <c r="J27" s="56">
        <v>2E-3</v>
      </c>
      <c r="K27" s="60"/>
      <c r="L27" s="60"/>
      <c r="M27" s="60"/>
      <c r="N27" s="60"/>
      <c r="O27" s="60"/>
      <c r="P27" s="60"/>
      <c r="Q27" s="60"/>
      <c r="R27" s="60"/>
      <c r="S27" s="60"/>
      <c r="T27" s="60"/>
      <c r="U27" s="60"/>
      <c r="V27" s="60"/>
      <c r="W27" s="60"/>
      <c r="X27" s="60"/>
      <c r="Y27" s="60"/>
      <c r="Z27" s="60"/>
    </row>
    <row r="28" spans="1:26" x14ac:dyDescent="0.2">
      <c r="A28" s="60"/>
      <c r="B28" s="60"/>
      <c r="C28" s="60"/>
      <c r="D28" s="60"/>
      <c r="E28" s="52" t="s">
        <v>24</v>
      </c>
      <c r="F28" s="53">
        <v>50</v>
      </c>
      <c r="G28" s="54">
        <v>584057</v>
      </c>
      <c r="H28" s="55">
        <v>39954</v>
      </c>
      <c r="I28" s="56">
        <v>1.2E-2</v>
      </c>
      <c r="J28" s="56">
        <v>4.0000000000000001E-3</v>
      </c>
      <c r="K28" s="60"/>
      <c r="L28" s="60"/>
      <c r="M28" s="60"/>
      <c r="N28" s="60"/>
      <c r="O28" s="60"/>
      <c r="P28" s="60"/>
      <c r="Q28" s="60"/>
      <c r="R28" s="60"/>
      <c r="S28" s="60"/>
      <c r="T28" s="60"/>
      <c r="U28" s="60"/>
      <c r="V28" s="60"/>
      <c r="W28" s="60"/>
      <c r="X28" s="60"/>
      <c r="Y28" s="60"/>
      <c r="Z28" s="60"/>
    </row>
    <row r="29" spans="1:26" x14ac:dyDescent="0.2">
      <c r="A29" s="60"/>
      <c r="B29" s="60"/>
      <c r="C29" s="60"/>
      <c r="D29" s="60"/>
      <c r="E29" s="60"/>
      <c r="F29" s="60"/>
      <c r="G29" s="60"/>
      <c r="H29" s="60"/>
      <c r="I29" s="60"/>
      <c r="J29" s="60"/>
      <c r="K29" s="60"/>
      <c r="L29" s="60"/>
      <c r="M29" s="60"/>
      <c r="N29" s="60"/>
      <c r="O29" s="60"/>
      <c r="P29" s="60"/>
      <c r="Q29" s="60"/>
      <c r="R29" s="60"/>
      <c r="S29" s="60"/>
      <c r="T29" s="60"/>
      <c r="U29" s="60"/>
      <c r="V29" s="60"/>
      <c r="W29" s="60"/>
      <c r="X29" s="60"/>
      <c r="Y29" s="60"/>
      <c r="Z29" s="60"/>
    </row>
    <row r="30" spans="1:26" ht="14.25" customHeight="1" x14ac:dyDescent="0.2">
      <c r="A30" s="60"/>
      <c r="B30" s="60"/>
      <c r="C30" s="60"/>
      <c r="D30" s="60"/>
      <c r="E30" s="65" t="s">
        <v>53</v>
      </c>
      <c r="F30" s="65" t="s">
        <v>57</v>
      </c>
      <c r="G30" s="65" t="s">
        <v>59</v>
      </c>
      <c r="H30" s="65" t="s">
        <v>61</v>
      </c>
      <c r="I30" s="65" t="s">
        <v>58</v>
      </c>
      <c r="J30" s="60"/>
      <c r="K30" s="60"/>
      <c r="L30" s="60"/>
      <c r="M30" s="60"/>
      <c r="N30" s="60"/>
      <c r="O30" s="60"/>
      <c r="P30" s="60"/>
      <c r="Q30" s="60"/>
      <c r="R30" s="60"/>
      <c r="S30" s="60"/>
      <c r="T30" s="60"/>
      <c r="U30" s="60"/>
      <c r="V30" s="60"/>
      <c r="W30" s="60"/>
      <c r="X30" s="60"/>
      <c r="Y30" s="60"/>
      <c r="Z30" s="60"/>
    </row>
    <row r="31" spans="1:26" x14ac:dyDescent="0.2">
      <c r="A31" s="60"/>
      <c r="B31" s="60"/>
      <c r="C31" s="60"/>
      <c r="D31" s="60"/>
      <c r="E31" s="65"/>
      <c r="F31" s="65"/>
      <c r="G31" s="65"/>
      <c r="H31" s="65"/>
      <c r="I31" s="65"/>
      <c r="J31" s="60"/>
      <c r="K31" s="60"/>
      <c r="L31" s="60"/>
      <c r="M31" s="60"/>
      <c r="N31" s="60"/>
      <c r="O31" s="60"/>
      <c r="P31" s="60"/>
      <c r="Q31" s="60"/>
      <c r="R31" s="60"/>
      <c r="S31" s="60"/>
      <c r="T31" s="60"/>
      <c r="U31" s="60"/>
      <c r="V31" s="60"/>
      <c r="W31" s="60"/>
      <c r="X31" s="60"/>
      <c r="Y31" s="60"/>
      <c r="Z31" s="60"/>
    </row>
    <row r="32" spans="1:26" x14ac:dyDescent="0.2">
      <c r="A32" s="60"/>
      <c r="B32" s="60"/>
      <c r="C32" s="60"/>
      <c r="D32" s="60"/>
      <c r="E32" s="65"/>
      <c r="F32" s="65"/>
      <c r="G32" s="65"/>
      <c r="H32" s="65"/>
      <c r="I32" s="65"/>
      <c r="J32" s="60"/>
      <c r="K32" s="60"/>
      <c r="L32" s="60"/>
      <c r="M32" s="60"/>
      <c r="N32" s="60"/>
      <c r="O32" s="60"/>
      <c r="P32" s="60"/>
      <c r="Q32" s="60"/>
      <c r="R32" s="62"/>
      <c r="S32" s="60"/>
      <c r="T32" s="60"/>
      <c r="U32" s="60"/>
      <c r="V32" s="60"/>
      <c r="W32" s="60"/>
      <c r="X32" s="60"/>
      <c r="Y32" s="60"/>
      <c r="Z32" s="60"/>
    </row>
    <row r="33" spans="1:26" x14ac:dyDescent="0.2">
      <c r="A33" s="60"/>
      <c r="B33" s="60"/>
      <c r="C33" s="60"/>
      <c r="D33" s="60"/>
      <c r="E33" s="65"/>
      <c r="F33" s="65"/>
      <c r="G33" s="65"/>
      <c r="H33" s="65"/>
      <c r="I33" s="65"/>
      <c r="J33" s="60"/>
      <c r="K33" s="60"/>
      <c r="L33" s="60"/>
      <c r="M33" s="60"/>
      <c r="N33" s="60"/>
      <c r="O33" s="60"/>
      <c r="P33" s="60"/>
      <c r="Q33" s="60"/>
      <c r="R33" s="60"/>
      <c r="S33" s="60"/>
      <c r="T33" s="60"/>
      <c r="U33" s="60"/>
      <c r="V33" s="60"/>
      <c r="W33" s="60"/>
      <c r="X33" s="60"/>
      <c r="Y33" s="60"/>
      <c r="Z33" s="60"/>
    </row>
    <row r="34" spans="1:26" x14ac:dyDescent="0.2">
      <c r="A34" s="60"/>
      <c r="B34" s="60"/>
      <c r="C34" s="60"/>
      <c r="D34" s="60"/>
      <c r="E34" s="65"/>
      <c r="F34" s="65"/>
      <c r="G34" s="65"/>
      <c r="H34" s="65"/>
      <c r="I34" s="65"/>
      <c r="J34" s="60"/>
      <c r="K34" s="60"/>
      <c r="L34" s="60"/>
      <c r="M34" s="60"/>
      <c r="N34" s="60"/>
      <c r="O34" s="60"/>
      <c r="P34" s="60"/>
      <c r="Q34" s="60"/>
      <c r="R34" s="60"/>
      <c r="S34" s="60"/>
      <c r="T34" s="60"/>
      <c r="U34" s="60"/>
      <c r="V34" s="60"/>
      <c r="W34" s="60"/>
      <c r="X34" s="60"/>
      <c r="Y34" s="60"/>
      <c r="Z34" s="60"/>
    </row>
    <row r="35" spans="1:26" x14ac:dyDescent="0.2">
      <c r="A35" s="60"/>
      <c r="B35" s="64" t="s">
        <v>0</v>
      </c>
      <c r="C35" s="64"/>
      <c r="D35" s="60"/>
      <c r="E35" s="65"/>
      <c r="F35" s="65"/>
      <c r="G35" s="65"/>
      <c r="H35" s="65"/>
      <c r="I35" s="65"/>
      <c r="J35" s="60"/>
      <c r="K35" s="60"/>
      <c r="L35" s="60"/>
      <c r="M35" s="60"/>
      <c r="N35" s="60"/>
      <c r="O35" s="60"/>
      <c r="P35" s="60"/>
      <c r="Q35" s="60"/>
      <c r="R35" s="60"/>
      <c r="S35" s="60"/>
      <c r="T35" s="60"/>
      <c r="U35" s="60"/>
      <c r="V35" s="60"/>
      <c r="W35" s="60"/>
      <c r="X35" s="60"/>
      <c r="Y35" s="60"/>
      <c r="Z35" s="60"/>
    </row>
    <row r="36" spans="1:26" x14ac:dyDescent="0.2">
      <c r="A36" s="60"/>
      <c r="B36" s="64"/>
      <c r="C36" s="64"/>
      <c r="D36" s="60"/>
      <c r="E36" s="65"/>
      <c r="F36" s="65"/>
      <c r="G36" s="65"/>
      <c r="H36" s="65"/>
      <c r="I36" s="65"/>
      <c r="J36" s="60"/>
      <c r="K36" s="60"/>
      <c r="L36" s="60"/>
      <c r="M36" s="60"/>
      <c r="N36" s="60"/>
      <c r="O36" s="60"/>
      <c r="P36" s="60"/>
      <c r="Q36" s="60"/>
      <c r="R36" s="60"/>
      <c r="S36" s="60"/>
      <c r="T36" s="60"/>
      <c r="U36" s="60"/>
      <c r="V36" s="60"/>
      <c r="W36" s="60"/>
      <c r="X36" s="60"/>
      <c r="Y36" s="60"/>
      <c r="Z36" s="60"/>
    </row>
    <row r="37" spans="1:26" x14ac:dyDescent="0.2">
      <c r="A37" s="60"/>
      <c r="B37" s="64"/>
      <c r="C37" s="64"/>
      <c r="D37" s="60"/>
      <c r="E37" s="65"/>
      <c r="F37" s="65"/>
      <c r="G37" s="65"/>
      <c r="H37" s="65"/>
      <c r="I37" s="65"/>
      <c r="J37" s="60"/>
      <c r="K37" s="60"/>
      <c r="L37" s="60"/>
      <c r="M37" s="60"/>
      <c r="N37" s="60"/>
      <c r="O37" s="60"/>
      <c r="P37" s="60"/>
      <c r="Q37" s="60"/>
      <c r="R37" s="60"/>
      <c r="S37" s="60"/>
      <c r="T37" s="60"/>
      <c r="U37" s="60"/>
      <c r="V37" s="60"/>
      <c r="W37" s="60"/>
      <c r="X37" s="60"/>
      <c r="Y37" s="60"/>
      <c r="Z37" s="60"/>
    </row>
    <row r="38" spans="1:26" x14ac:dyDescent="0.2">
      <c r="A38" s="60"/>
      <c r="B38" s="64"/>
      <c r="C38" s="64"/>
      <c r="D38" s="60"/>
      <c r="E38" s="67">
        <f>_xlfn.XLOOKUP(B41,Analyse!A91:A105,Analyse!B91:B105)</f>
        <v>1</v>
      </c>
      <c r="F38" s="68">
        <f>_xlfn.XLOOKUP(Dashboard!B41, Analyse!A40:A54, Analyse!B40:B54)</f>
        <v>0.313</v>
      </c>
      <c r="G38" s="69">
        <f>_xlfn.XLOOKUP(Dashboard!B41,Analyse!A57:A71,Analyse!C57:C71)</f>
        <v>0.47899999999999998</v>
      </c>
      <c r="H38" s="70">
        <f>_xlfn.XLOOKUP(Dashboard!B41,Analyse!A107:A122,Analyse!B107:B122)</f>
        <v>51.2</v>
      </c>
      <c r="I38" s="66">
        <f>_xlfn.XLOOKUP(Dashboard!B41, Analyse!A57:A71,Analyse!B57:B71)</f>
        <v>102.9</v>
      </c>
      <c r="J38" s="60"/>
      <c r="K38" s="60"/>
      <c r="L38" s="60"/>
      <c r="M38" s="60"/>
      <c r="N38" s="60"/>
      <c r="O38" s="60"/>
      <c r="P38" s="60"/>
      <c r="Q38" s="60"/>
      <c r="R38" s="60"/>
      <c r="S38" s="60"/>
      <c r="T38" s="60"/>
      <c r="U38" s="60"/>
      <c r="V38" s="60"/>
      <c r="W38" s="60"/>
      <c r="X38" s="60"/>
      <c r="Y38" s="60"/>
      <c r="Z38" s="60"/>
    </row>
    <row r="39" spans="1:26" x14ac:dyDescent="0.2">
      <c r="A39" s="60"/>
      <c r="B39" s="64"/>
      <c r="C39" s="64"/>
      <c r="D39" s="60"/>
      <c r="E39" s="67"/>
      <c r="F39" s="68"/>
      <c r="G39" s="69"/>
      <c r="H39" s="70"/>
      <c r="I39" s="66"/>
      <c r="J39" s="60"/>
      <c r="K39" s="60"/>
      <c r="L39" s="60"/>
      <c r="M39" s="60"/>
      <c r="N39" s="60"/>
      <c r="O39" s="60"/>
      <c r="P39" s="60"/>
      <c r="Q39" s="60"/>
      <c r="R39" s="60"/>
      <c r="S39" s="60"/>
      <c r="T39" s="60"/>
      <c r="U39" s="60"/>
      <c r="V39" s="60"/>
      <c r="W39" s="60"/>
      <c r="X39" s="60"/>
      <c r="Y39" s="60"/>
      <c r="Z39" s="60"/>
    </row>
    <row r="40" spans="1:26" x14ac:dyDescent="0.2">
      <c r="A40" s="60"/>
      <c r="B40" s="61"/>
      <c r="C40" s="61"/>
      <c r="D40" s="60"/>
      <c r="E40" s="67"/>
      <c r="F40" s="68"/>
      <c r="G40" s="69"/>
      <c r="H40" s="70"/>
      <c r="I40" s="66"/>
      <c r="J40" s="60"/>
      <c r="K40" s="60"/>
      <c r="L40" s="60"/>
      <c r="M40" s="60"/>
      <c r="N40" s="60"/>
      <c r="O40" s="60"/>
      <c r="P40" s="60"/>
      <c r="Q40" s="60"/>
      <c r="R40" s="60"/>
      <c r="S40" s="60"/>
      <c r="T40" s="60"/>
      <c r="U40" s="60"/>
      <c r="V40" s="60"/>
      <c r="W40" s="60"/>
      <c r="X40" s="60"/>
      <c r="Y40" s="60"/>
      <c r="Z40" s="60"/>
    </row>
    <row r="41" spans="1:26" ht="14.25" customHeight="1" x14ac:dyDescent="0.2">
      <c r="A41" s="60"/>
      <c r="B41" s="64" t="s">
        <v>1</v>
      </c>
      <c r="C41" s="64"/>
      <c r="D41" s="60"/>
      <c r="E41" s="67"/>
      <c r="F41" s="68"/>
      <c r="G41" s="69"/>
      <c r="H41" s="70"/>
      <c r="I41" s="66"/>
      <c r="J41" s="60"/>
      <c r="K41" s="60"/>
      <c r="L41" s="60"/>
      <c r="M41" s="60"/>
      <c r="N41" s="60"/>
      <c r="O41" s="60"/>
      <c r="P41" s="60"/>
      <c r="Q41" s="60"/>
      <c r="R41" s="60"/>
      <c r="S41" s="60"/>
      <c r="T41" s="60"/>
      <c r="U41" s="60"/>
      <c r="V41" s="60"/>
      <c r="W41" s="60"/>
      <c r="X41" s="60"/>
      <c r="Y41" s="60"/>
      <c r="Z41" s="60"/>
    </row>
    <row r="42" spans="1:26" ht="14.25" customHeight="1" x14ac:dyDescent="0.2">
      <c r="A42" s="60"/>
      <c r="B42" s="64"/>
      <c r="C42" s="64"/>
      <c r="D42" s="60"/>
      <c r="E42" s="67"/>
      <c r="F42" s="68"/>
      <c r="G42" s="69"/>
      <c r="H42" s="70"/>
      <c r="I42" s="66"/>
      <c r="J42" s="60"/>
      <c r="K42" s="60"/>
      <c r="L42" s="60"/>
      <c r="M42" s="60"/>
      <c r="N42" s="60"/>
      <c r="O42" s="60"/>
      <c r="P42" s="60"/>
      <c r="Q42" s="60"/>
      <c r="R42" s="60"/>
      <c r="S42" s="60"/>
      <c r="T42" s="60"/>
      <c r="U42" s="60"/>
      <c r="V42" s="60"/>
      <c r="W42" s="60"/>
      <c r="X42" s="60"/>
      <c r="Y42" s="60"/>
      <c r="Z42" s="60"/>
    </row>
    <row r="43" spans="1:26" ht="14.25" customHeight="1" x14ac:dyDescent="0.2">
      <c r="A43" s="60"/>
      <c r="B43" s="64"/>
      <c r="C43" s="64"/>
      <c r="D43" s="60"/>
      <c r="E43" s="67"/>
      <c r="F43" s="68"/>
      <c r="G43" s="69"/>
      <c r="H43" s="70"/>
      <c r="I43" s="66"/>
      <c r="J43" s="60"/>
      <c r="K43" s="60"/>
      <c r="L43" s="60"/>
      <c r="M43" s="60"/>
      <c r="N43" s="60"/>
      <c r="O43" s="60"/>
      <c r="P43" s="60"/>
      <c r="Q43" s="60"/>
      <c r="R43" s="60"/>
      <c r="S43" s="60"/>
      <c r="T43" s="60"/>
      <c r="U43" s="60"/>
      <c r="V43" s="60"/>
      <c r="W43" s="60"/>
      <c r="X43" s="60"/>
      <c r="Y43" s="60"/>
      <c r="Z43" s="60"/>
    </row>
    <row r="44" spans="1:26" ht="14.25" customHeight="1" x14ac:dyDescent="0.2">
      <c r="A44" s="60"/>
      <c r="B44" s="64"/>
      <c r="C44" s="64"/>
      <c r="D44" s="60"/>
      <c r="E44" s="67"/>
      <c r="F44" s="68"/>
      <c r="G44" s="69"/>
      <c r="H44" s="70"/>
      <c r="I44" s="66"/>
      <c r="J44" s="60"/>
      <c r="K44" s="60"/>
      <c r="L44" s="60"/>
      <c r="M44" s="60"/>
      <c r="N44" s="60"/>
      <c r="O44" s="60"/>
      <c r="P44" s="60"/>
      <c r="Q44" s="60"/>
      <c r="R44" s="60"/>
      <c r="S44" s="60"/>
      <c r="T44" s="60"/>
      <c r="U44" s="60"/>
      <c r="V44" s="60"/>
      <c r="W44" s="60"/>
      <c r="X44" s="60"/>
      <c r="Y44" s="60"/>
      <c r="Z44" s="60"/>
    </row>
    <row r="45" spans="1:26" ht="14.25" customHeight="1" x14ac:dyDescent="0.2">
      <c r="A45" s="60"/>
      <c r="B45" s="64"/>
      <c r="C45" s="64"/>
      <c r="D45" s="60"/>
      <c r="E45" s="67"/>
      <c r="F45" s="68"/>
      <c r="G45" s="69"/>
      <c r="H45" s="70"/>
      <c r="I45" s="66"/>
      <c r="J45" s="60"/>
      <c r="K45" s="60"/>
      <c r="L45" s="60"/>
      <c r="M45" s="60"/>
      <c r="N45" s="60"/>
      <c r="O45" s="60"/>
      <c r="P45" s="60"/>
      <c r="Q45" s="60"/>
      <c r="R45" s="60"/>
      <c r="S45" s="60"/>
      <c r="T45" s="60"/>
      <c r="U45" s="60"/>
      <c r="V45" s="60"/>
      <c r="W45" s="60"/>
      <c r="X45" s="60"/>
      <c r="Y45" s="60"/>
      <c r="Z45" s="60"/>
    </row>
    <row r="46" spans="1:26" ht="14.25" customHeight="1" x14ac:dyDescent="0.2">
      <c r="A46" s="60"/>
      <c r="B46" s="63"/>
      <c r="C46" s="63"/>
      <c r="D46" s="60"/>
      <c r="E46" s="60"/>
      <c r="F46" s="60"/>
      <c r="G46" s="60"/>
      <c r="H46" s="60"/>
      <c r="I46" s="60"/>
      <c r="J46" s="60"/>
      <c r="K46" s="60"/>
      <c r="L46" s="60"/>
      <c r="M46" s="60"/>
      <c r="N46" s="60"/>
      <c r="O46" s="60"/>
      <c r="P46" s="60"/>
      <c r="Q46" s="60"/>
      <c r="R46" s="60"/>
      <c r="S46" s="60"/>
      <c r="T46" s="60"/>
      <c r="U46" s="60"/>
      <c r="V46" s="60"/>
      <c r="W46" s="60"/>
      <c r="X46" s="60"/>
      <c r="Y46" s="60"/>
      <c r="Z46" s="60"/>
    </row>
  </sheetData>
  <sheetProtection selectLockedCells="1"/>
  <mergeCells count="12">
    <mergeCell ref="B35:C39"/>
    <mergeCell ref="B41:C45"/>
    <mergeCell ref="E30:E37"/>
    <mergeCell ref="F30:F37"/>
    <mergeCell ref="I30:I37"/>
    <mergeCell ref="I38:I45"/>
    <mergeCell ref="G30:G37"/>
    <mergeCell ref="H30:H37"/>
    <mergeCell ref="E38:E45"/>
    <mergeCell ref="F38:F45"/>
    <mergeCell ref="G38:G45"/>
    <mergeCell ref="H38:H45"/>
  </mergeCells>
  <conditionalFormatting pivot="1" sqref="F14:F28">
    <cfRule type="dataBar" priority="5">
      <dataBar>
        <cfvo type="min"/>
        <cfvo type="max"/>
        <color rgb="FF63C384"/>
      </dataBar>
      <extLst>
        <ext xmlns:x14="http://schemas.microsoft.com/office/spreadsheetml/2009/9/main" uri="{B025F937-C7B1-47D3-B67F-A62EFF666E3E}">
          <x14:id>{1C637D31-AC0E-4914-8CD0-96E58F3EF72B}</x14:id>
        </ext>
      </extLst>
    </cfRule>
  </conditionalFormatting>
  <conditionalFormatting pivot="1" sqref="G14:G28">
    <cfRule type="colorScale" priority="4">
      <colorScale>
        <cfvo type="min"/>
        <cfvo type="percentile" val="50"/>
        <cfvo type="max"/>
        <color rgb="FF5A8AC6"/>
        <color rgb="FFFCFCFF"/>
        <color rgb="FFF8696B"/>
      </colorScale>
    </cfRule>
  </conditionalFormatting>
  <conditionalFormatting pivot="1" sqref="I14:I28">
    <cfRule type="dataBar" priority="3">
      <dataBar>
        <cfvo type="min"/>
        <cfvo type="max"/>
        <color rgb="FF63C384"/>
      </dataBar>
      <extLst>
        <ext xmlns:x14="http://schemas.microsoft.com/office/spreadsheetml/2009/9/main" uri="{B025F937-C7B1-47D3-B67F-A62EFF666E3E}">
          <x14:id>{13586032-09A6-488A-BED2-87E6D771044B}</x14:id>
        </ext>
      </extLst>
    </cfRule>
  </conditionalFormatting>
  <conditionalFormatting pivot="1" sqref="J14:J28">
    <cfRule type="colorScale" priority="2">
      <colorScale>
        <cfvo type="min"/>
        <cfvo type="percentile" val="50"/>
        <cfvo type="max"/>
        <color rgb="FFF8696B"/>
        <color rgb="FFFCFCFF"/>
        <color rgb="FF5A8AC6"/>
      </colorScale>
    </cfRule>
  </conditionalFormatting>
  <conditionalFormatting pivot="1" sqref="H14:H28">
    <cfRule type="dataBar" priority="1">
      <dataBar>
        <cfvo type="min"/>
        <cfvo type="max"/>
        <color rgb="FF008AEF"/>
      </dataBar>
      <extLst>
        <ext xmlns:x14="http://schemas.microsoft.com/office/spreadsheetml/2009/9/main" uri="{B025F937-C7B1-47D3-B67F-A62EFF666E3E}">
          <x14:id>{669456EB-B4B8-4CF7-A659-262E4E3465CD}</x14:id>
        </ext>
      </extLst>
    </cfRule>
  </conditionalFormatting>
  <pageMargins left="0.7" right="0.7" top="0.75" bottom="0.75" header="0.3" footer="0.3"/>
  <pageSetup orientation="portrait" horizontalDpi="0" verticalDpi="0"/>
  <drawing r:id="rId2"/>
  <extLst>
    <ext xmlns:x14="http://schemas.microsoft.com/office/spreadsheetml/2009/9/main" uri="{78C0D931-6437-407d-A8EE-F0AAD7539E65}">
      <x14:conditionalFormattings>
        <x14:conditionalFormatting xmlns:xm="http://schemas.microsoft.com/office/excel/2006/main" pivot="1">
          <x14:cfRule type="dataBar" id="{1C637D31-AC0E-4914-8CD0-96E58F3EF72B}">
            <x14:dataBar minLength="0" maxLength="100" border="1" negativeBarBorderColorSameAsPositive="0">
              <x14:cfvo type="autoMin"/>
              <x14:cfvo type="autoMax"/>
              <x14:borderColor rgb="FF63C384"/>
              <x14:negativeFillColor rgb="FFFF0000"/>
              <x14:negativeBorderColor rgb="FFFF0000"/>
              <x14:axisColor rgb="FF000000"/>
            </x14:dataBar>
          </x14:cfRule>
          <xm:sqref>F14:F28</xm:sqref>
        </x14:conditionalFormatting>
        <x14:conditionalFormatting xmlns:xm="http://schemas.microsoft.com/office/excel/2006/main" pivot="1">
          <x14:cfRule type="dataBar" id="{13586032-09A6-488A-BED2-87E6D771044B}">
            <x14:dataBar minLength="0" maxLength="100" border="1" negativeBarBorderColorSameAsPositive="0">
              <x14:cfvo type="autoMin"/>
              <x14:cfvo type="autoMax"/>
              <x14:borderColor rgb="FF63C384"/>
              <x14:negativeFillColor rgb="FFFF0000"/>
              <x14:negativeBorderColor rgb="FFFF0000"/>
              <x14:axisColor rgb="FF000000"/>
            </x14:dataBar>
          </x14:cfRule>
          <xm:sqref>I14:I28</xm:sqref>
        </x14:conditionalFormatting>
        <x14:conditionalFormatting xmlns:xm="http://schemas.microsoft.com/office/excel/2006/main" pivot="1">
          <x14:cfRule type="dataBar" id="{669456EB-B4B8-4CF7-A659-262E4E3465CD}">
            <x14:dataBar minLength="0" maxLength="100" border="1" negativeBarBorderColorSameAsPositive="0">
              <x14:cfvo type="autoMin"/>
              <x14:cfvo type="autoMax"/>
              <x14:borderColor rgb="FF008AEF"/>
              <x14:negativeFillColor rgb="FFFF0000"/>
              <x14:negativeBorderColor rgb="FFFF0000"/>
              <x14:axisColor rgb="FF000000"/>
            </x14:dataBar>
          </x14:cfRule>
          <xm:sqref>H14:H28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CE3370D-28BC-424F-BB01-CCA3F80E3B79}">
          <x14:formula1>
            <xm:f>Analyse!$A$40:$A$54</xm:f>
          </x14:formula1>
          <xm:sqref>B41 B46:C46</xm:sqref>
        </x14:dataValidation>
      </x14:dataValidations>
    </ex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F486-0C54-4B10-A538-61F04DCF4EE2}">
  <sheetPr codeName="Sheet2"/>
  <dimension ref="A1:E46"/>
  <sheetViews>
    <sheetView showGridLines="0" workbookViewId="0"/>
  </sheetViews>
  <sheetFormatPr baseColWidth="10" defaultColWidth="8.83203125" defaultRowHeight="22" x14ac:dyDescent="0.3"/>
  <cols>
    <col min="1" max="1" width="3.6640625" style="42" customWidth="1"/>
    <col min="2" max="2" width="79.5" style="42" bestFit="1" customWidth="1"/>
    <col min="3" max="4" width="8.83203125" style="42"/>
    <col min="5" max="5" width="3.6640625" style="42" customWidth="1"/>
    <col min="6" max="16384" width="8.83203125" style="42"/>
  </cols>
  <sheetData>
    <row r="1" spans="1:5" x14ac:dyDescent="0.3">
      <c r="A1" s="57"/>
      <c r="B1" s="57"/>
      <c r="C1" s="57"/>
      <c r="D1" s="57"/>
      <c r="E1" s="57"/>
    </row>
    <row r="2" spans="1:5" x14ac:dyDescent="0.3">
      <c r="A2" s="57"/>
      <c r="B2" s="46"/>
      <c r="C2" s="46"/>
      <c r="D2" s="46"/>
      <c r="E2" s="57"/>
    </row>
    <row r="3" spans="1:5" x14ac:dyDescent="0.3">
      <c r="A3" s="57"/>
      <c r="B3" s="46"/>
      <c r="C3" s="46"/>
      <c r="D3" s="46"/>
      <c r="E3" s="57"/>
    </row>
    <row r="4" spans="1:5" x14ac:dyDescent="0.3">
      <c r="A4" s="57"/>
      <c r="B4" s="46"/>
      <c r="C4" s="46"/>
      <c r="D4" s="46"/>
      <c r="E4" s="57"/>
    </row>
    <row r="5" spans="1:5" x14ac:dyDescent="0.3">
      <c r="A5" s="57"/>
      <c r="B5" s="46"/>
      <c r="C5" s="46"/>
      <c r="D5" s="46"/>
      <c r="E5" s="57"/>
    </row>
    <row r="6" spans="1:5" x14ac:dyDescent="0.3">
      <c r="A6" s="57"/>
      <c r="B6" s="46"/>
      <c r="C6" s="46"/>
      <c r="D6" s="46"/>
      <c r="E6" s="57"/>
    </row>
    <row r="7" spans="1:5" x14ac:dyDescent="0.3">
      <c r="A7" s="57"/>
      <c r="B7" s="46"/>
      <c r="C7" s="46"/>
      <c r="D7" s="46"/>
      <c r="E7" s="57"/>
    </row>
    <row r="8" spans="1:5" x14ac:dyDescent="0.3">
      <c r="A8" s="57"/>
      <c r="B8" s="43" t="s">
        <v>69</v>
      </c>
      <c r="C8" s="46"/>
      <c r="D8" s="46"/>
      <c r="E8" s="57"/>
    </row>
    <row r="9" spans="1:5" x14ac:dyDescent="0.3">
      <c r="A9" s="57"/>
      <c r="B9" s="44"/>
      <c r="C9" s="46"/>
      <c r="D9" s="46"/>
      <c r="E9" s="57"/>
    </row>
    <row r="10" spans="1:5" x14ac:dyDescent="0.3">
      <c r="A10" s="57"/>
      <c r="B10" s="43" t="s">
        <v>71</v>
      </c>
      <c r="C10" s="46"/>
      <c r="D10" s="46"/>
      <c r="E10" s="57"/>
    </row>
    <row r="11" spans="1:5" x14ac:dyDescent="0.3">
      <c r="A11" s="57"/>
      <c r="B11" s="44"/>
      <c r="C11" s="46"/>
      <c r="D11" s="46"/>
      <c r="E11" s="57"/>
    </row>
    <row r="12" spans="1:5" x14ac:dyDescent="0.3">
      <c r="A12" s="57"/>
      <c r="B12" s="43" t="s">
        <v>74</v>
      </c>
      <c r="C12" s="46"/>
      <c r="D12" s="46"/>
      <c r="E12" s="57"/>
    </row>
    <row r="13" spans="1:5" x14ac:dyDescent="0.3">
      <c r="A13" s="57"/>
      <c r="B13" s="47" t="s">
        <v>63</v>
      </c>
      <c r="C13" s="46"/>
      <c r="D13" s="46"/>
      <c r="E13" s="57"/>
    </row>
    <row r="14" spans="1:5" x14ac:dyDescent="0.3">
      <c r="A14" s="57"/>
      <c r="B14" s="43" t="s">
        <v>75</v>
      </c>
      <c r="C14" s="46"/>
      <c r="D14" s="46"/>
      <c r="E14" s="57"/>
    </row>
    <row r="15" spans="1:5" x14ac:dyDescent="0.3">
      <c r="A15" s="57"/>
      <c r="B15" s="44" t="s">
        <v>70</v>
      </c>
      <c r="C15" s="46"/>
      <c r="D15" s="46"/>
      <c r="E15" s="57"/>
    </row>
    <row r="16" spans="1:5" x14ac:dyDescent="0.3">
      <c r="A16" s="57"/>
      <c r="B16" s="44" t="s">
        <v>8</v>
      </c>
      <c r="C16" s="46"/>
      <c r="D16" s="46"/>
      <c r="E16" s="57"/>
    </row>
    <row r="17" spans="1:5" x14ac:dyDescent="0.3">
      <c r="A17" s="57"/>
      <c r="B17" s="44" t="s">
        <v>9</v>
      </c>
      <c r="C17" s="46"/>
      <c r="D17" s="46"/>
      <c r="E17" s="57"/>
    </row>
    <row r="18" spans="1:5" x14ac:dyDescent="0.3">
      <c r="A18" s="57"/>
      <c r="B18" s="44" t="s">
        <v>2</v>
      </c>
      <c r="C18" s="46"/>
      <c r="D18" s="46"/>
      <c r="E18" s="57"/>
    </row>
    <row r="19" spans="1:5" x14ac:dyDescent="0.3">
      <c r="A19" s="57"/>
      <c r="B19" s="44" t="s">
        <v>47</v>
      </c>
      <c r="C19" s="46"/>
      <c r="D19" s="46"/>
      <c r="E19" s="57"/>
    </row>
    <row r="20" spans="1:5" x14ac:dyDescent="0.3">
      <c r="A20" s="57"/>
      <c r="B20" s="44" t="s">
        <v>3</v>
      </c>
      <c r="C20" s="46"/>
      <c r="D20" s="46"/>
      <c r="E20" s="57"/>
    </row>
    <row r="21" spans="1:5" x14ac:dyDescent="0.3">
      <c r="A21" s="57"/>
      <c r="B21" s="44" t="s">
        <v>4</v>
      </c>
      <c r="C21" s="46"/>
      <c r="D21" s="46"/>
      <c r="E21" s="57"/>
    </row>
    <row r="22" spans="1:5" x14ac:dyDescent="0.3">
      <c r="A22" s="57"/>
      <c r="B22" s="44" t="s">
        <v>37</v>
      </c>
      <c r="C22" s="46"/>
      <c r="D22" s="46"/>
      <c r="E22" s="57"/>
    </row>
    <row r="23" spans="1:5" x14ac:dyDescent="0.3">
      <c r="A23" s="57"/>
      <c r="B23" s="44" t="s">
        <v>5</v>
      </c>
      <c r="C23" s="46"/>
      <c r="D23" s="46"/>
      <c r="E23" s="57"/>
    </row>
    <row r="24" spans="1:5" x14ac:dyDescent="0.3">
      <c r="A24" s="57"/>
      <c r="B24" s="44" t="s">
        <v>6</v>
      </c>
      <c r="C24" s="46"/>
      <c r="D24" s="46"/>
      <c r="E24" s="57"/>
    </row>
    <row r="25" spans="1:5" x14ac:dyDescent="0.3">
      <c r="A25" s="57"/>
      <c r="B25" s="44"/>
      <c r="C25" s="46"/>
      <c r="D25" s="46"/>
      <c r="E25" s="57"/>
    </row>
    <row r="26" spans="1:5" x14ac:dyDescent="0.3">
      <c r="A26" s="57"/>
      <c r="B26" s="43" t="s">
        <v>72</v>
      </c>
      <c r="C26" s="46"/>
      <c r="D26" s="46"/>
      <c r="E26" s="57"/>
    </row>
    <row r="27" spans="1:5" x14ac:dyDescent="0.3">
      <c r="A27" s="57"/>
      <c r="B27" s="44"/>
      <c r="C27" s="46"/>
      <c r="D27" s="46"/>
      <c r="E27" s="57"/>
    </row>
    <row r="28" spans="1:5" x14ac:dyDescent="0.3">
      <c r="A28" s="57"/>
      <c r="B28" s="43" t="s">
        <v>76</v>
      </c>
      <c r="C28" s="46"/>
      <c r="D28" s="46"/>
      <c r="E28" s="57"/>
    </row>
    <row r="29" spans="1:5" x14ac:dyDescent="0.3">
      <c r="A29" s="58"/>
      <c r="B29" s="45" t="s">
        <v>65</v>
      </c>
      <c r="C29" s="48"/>
      <c r="D29" s="48"/>
      <c r="E29" s="58"/>
    </row>
    <row r="30" spans="1:5" x14ac:dyDescent="0.3">
      <c r="A30" s="58"/>
      <c r="B30" s="45" t="s">
        <v>66</v>
      </c>
      <c r="C30" s="48"/>
      <c r="D30" s="48"/>
      <c r="E30" s="58"/>
    </row>
    <row r="31" spans="1:5" x14ac:dyDescent="0.3">
      <c r="A31" s="57"/>
      <c r="B31" s="43" t="s">
        <v>75</v>
      </c>
      <c r="C31" s="46"/>
      <c r="D31" s="46"/>
      <c r="E31" s="57"/>
    </row>
    <row r="32" spans="1:5" x14ac:dyDescent="0.3">
      <c r="A32" s="57"/>
      <c r="B32" s="44" t="s">
        <v>7</v>
      </c>
      <c r="C32" s="46"/>
      <c r="D32" s="46"/>
      <c r="E32" s="57"/>
    </row>
    <row r="33" spans="1:5" x14ac:dyDescent="0.3">
      <c r="A33" s="57"/>
      <c r="B33" s="44" t="s">
        <v>46</v>
      </c>
      <c r="C33" s="46"/>
      <c r="D33" s="46"/>
      <c r="E33" s="57"/>
    </row>
    <row r="34" spans="1:5" x14ac:dyDescent="0.3">
      <c r="A34" s="57"/>
      <c r="B34" s="44"/>
      <c r="C34" s="46"/>
      <c r="D34" s="46"/>
      <c r="E34" s="57"/>
    </row>
    <row r="35" spans="1:5" x14ac:dyDescent="0.3">
      <c r="A35" s="57"/>
      <c r="B35" s="43" t="s">
        <v>73</v>
      </c>
      <c r="C35" s="46"/>
      <c r="D35" s="46"/>
      <c r="E35" s="57"/>
    </row>
    <row r="36" spans="1:5" x14ac:dyDescent="0.3">
      <c r="A36" s="57"/>
      <c r="B36" s="43"/>
      <c r="C36" s="46"/>
      <c r="D36" s="46"/>
      <c r="E36" s="57"/>
    </row>
    <row r="37" spans="1:5" x14ac:dyDescent="0.3">
      <c r="A37" s="57"/>
      <c r="B37" s="43" t="s">
        <v>74</v>
      </c>
      <c r="C37" s="46"/>
      <c r="D37" s="46"/>
      <c r="E37" s="57"/>
    </row>
    <row r="38" spans="1:5" x14ac:dyDescent="0.3">
      <c r="A38" s="57"/>
      <c r="B38" s="47" t="s">
        <v>68</v>
      </c>
      <c r="C38" s="46"/>
      <c r="D38" s="46"/>
      <c r="E38" s="57"/>
    </row>
    <row r="39" spans="1:5" x14ac:dyDescent="0.3">
      <c r="A39" s="57"/>
      <c r="B39" s="43" t="s">
        <v>75</v>
      </c>
      <c r="C39" s="46"/>
      <c r="D39" s="46"/>
      <c r="E39" s="57"/>
    </row>
    <row r="40" spans="1:5" x14ac:dyDescent="0.3">
      <c r="A40" s="57"/>
      <c r="B40" s="44" t="s">
        <v>44</v>
      </c>
      <c r="C40" s="46"/>
      <c r="D40" s="46"/>
      <c r="E40" s="57"/>
    </row>
    <row r="41" spans="1:5" x14ac:dyDescent="0.3">
      <c r="A41" s="57"/>
      <c r="B41" s="44" t="s">
        <v>45</v>
      </c>
      <c r="C41" s="46"/>
      <c r="D41" s="46"/>
      <c r="E41" s="57"/>
    </row>
    <row r="42" spans="1:5" x14ac:dyDescent="0.3">
      <c r="A42" s="57"/>
      <c r="B42" s="46"/>
      <c r="C42" s="46"/>
      <c r="D42" s="46"/>
      <c r="E42" s="57"/>
    </row>
    <row r="43" spans="1:5" x14ac:dyDescent="0.3">
      <c r="A43" s="59"/>
      <c r="B43" s="49"/>
      <c r="C43" s="49"/>
      <c r="D43" s="49"/>
      <c r="E43" s="59"/>
    </row>
    <row r="44" spans="1:5" x14ac:dyDescent="0.3">
      <c r="A44" s="59"/>
      <c r="B44" s="49"/>
      <c r="C44" s="49"/>
      <c r="D44" s="49"/>
      <c r="E44" s="59"/>
    </row>
    <row r="45" spans="1:5" x14ac:dyDescent="0.3">
      <c r="A45" s="59"/>
      <c r="B45" s="49"/>
      <c r="C45" s="49"/>
      <c r="D45" s="49"/>
      <c r="E45" s="59"/>
    </row>
    <row r="46" spans="1:5" x14ac:dyDescent="0.3">
      <c r="A46" s="59"/>
      <c r="B46" s="59"/>
      <c r="C46" s="59"/>
      <c r="D46" s="59"/>
      <c r="E46" s="59"/>
    </row>
  </sheetData>
  <hyperlinks>
    <hyperlink ref="B13" r:id="rId1" xr:uid="{64189AE0-EA58-7942-829F-F23CDAE763BF}"/>
    <hyperlink ref="B29" r:id="rId2" xr:uid="{628A8F78-0C75-C74D-AF59-FD6435BF8566}"/>
    <hyperlink ref="B30" r:id="rId3" xr:uid="{C16B5464-94DD-5340-A923-40284FAAA741}"/>
    <hyperlink ref="B38" r:id="rId4" xr:uid="{F3A8BD3A-7F2A-8C41-B13D-D65644139696}"/>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00BCD-BC67-4EEF-898D-45881C684880}">
  <sheetPr codeName="Sheet3"/>
  <dimension ref="A2:F122"/>
  <sheetViews>
    <sheetView showGridLines="0" workbookViewId="0"/>
  </sheetViews>
  <sheetFormatPr baseColWidth="10" defaultColWidth="18.1640625" defaultRowHeight="15" x14ac:dyDescent="0.2"/>
  <cols>
    <col min="1" max="1" width="12.6640625" style="2" bestFit="1" customWidth="1"/>
    <col min="2" max="2" width="27.83203125" style="2" bestFit="1" customWidth="1"/>
    <col min="3" max="3" width="13.5" style="2" bestFit="1" customWidth="1"/>
    <col min="4" max="4" width="20.33203125" style="2" bestFit="1" customWidth="1"/>
    <col min="5" max="5" width="19" style="2" bestFit="1" customWidth="1"/>
  </cols>
  <sheetData>
    <row r="2" spans="1:5" x14ac:dyDescent="0.2">
      <c r="A2" s="2" t="s">
        <v>48</v>
      </c>
      <c r="B2" s="2" t="s">
        <v>49</v>
      </c>
      <c r="C2" s="2" t="s">
        <v>50</v>
      </c>
      <c r="D2" s="2" t="s">
        <v>51</v>
      </c>
      <c r="E2" s="2" t="s">
        <v>52</v>
      </c>
    </row>
    <row r="3" spans="1:5" x14ac:dyDescent="0.2">
      <c r="A3" s="9">
        <v>6263</v>
      </c>
      <c r="B3" s="3">
        <v>76074121</v>
      </c>
      <c r="C3" s="4">
        <v>44561.866666666669</v>
      </c>
      <c r="D3" s="5">
        <v>2.3266666666666665E-2</v>
      </c>
      <c r="E3" s="5">
        <v>4.4666666666666665E-3</v>
      </c>
    </row>
    <row r="5" spans="1:5" x14ac:dyDescent="0.2">
      <c r="A5" s="41" t="s">
        <v>0</v>
      </c>
      <c r="B5" s="2" t="s">
        <v>54</v>
      </c>
    </row>
    <row r="6" spans="1:5" x14ac:dyDescent="0.2">
      <c r="A6" s="2" t="s">
        <v>21</v>
      </c>
      <c r="B6" s="2">
        <v>71404</v>
      </c>
    </row>
    <row r="7" spans="1:5" x14ac:dyDescent="0.2">
      <c r="A7" s="2" t="s">
        <v>17</v>
      </c>
      <c r="B7" s="2">
        <v>83569</v>
      </c>
    </row>
    <row r="8" spans="1:5" x14ac:dyDescent="0.2">
      <c r="A8" s="2" t="s">
        <v>18</v>
      </c>
      <c r="B8" s="2">
        <v>56273</v>
      </c>
    </row>
    <row r="9" spans="1:5" x14ac:dyDescent="0.2">
      <c r="A9" s="2" t="s">
        <v>22</v>
      </c>
      <c r="B9" s="2">
        <v>10554</v>
      </c>
    </row>
    <row r="10" spans="1:5" x14ac:dyDescent="0.2">
      <c r="A10" s="2" t="s">
        <v>16</v>
      </c>
      <c r="B10" s="2">
        <v>86943</v>
      </c>
    </row>
    <row r="11" spans="1:5" x14ac:dyDescent="0.2">
      <c r="A11" s="2" t="s">
        <v>15</v>
      </c>
      <c r="B11" s="2">
        <v>77347</v>
      </c>
    </row>
    <row r="12" spans="1:5" x14ac:dyDescent="0.2">
      <c r="A12" s="2" t="s">
        <v>10</v>
      </c>
      <c r="B12" s="2">
        <v>9350</v>
      </c>
    </row>
    <row r="13" spans="1:5" x14ac:dyDescent="0.2">
      <c r="A13" s="2" t="s">
        <v>26</v>
      </c>
      <c r="B13" s="2">
        <v>8719</v>
      </c>
    </row>
    <row r="14" spans="1:5" x14ac:dyDescent="0.2">
      <c r="A14" s="2" t="s">
        <v>27</v>
      </c>
      <c r="B14" s="2">
        <v>70699</v>
      </c>
    </row>
    <row r="15" spans="1:5" x14ac:dyDescent="0.2">
      <c r="A15" s="2" t="s">
        <v>23</v>
      </c>
      <c r="B15" s="2">
        <v>77116</v>
      </c>
    </row>
    <row r="16" spans="1:5" x14ac:dyDescent="0.2">
      <c r="A16" s="2" t="s">
        <v>1</v>
      </c>
      <c r="B16" s="2">
        <v>84898</v>
      </c>
    </row>
    <row r="17" spans="1:3" x14ac:dyDescent="0.2">
      <c r="A17" s="2" t="s">
        <v>19</v>
      </c>
      <c r="B17" s="2">
        <v>9615</v>
      </c>
    </row>
    <row r="18" spans="1:3" x14ac:dyDescent="0.2">
      <c r="A18" s="2" t="s">
        <v>25</v>
      </c>
      <c r="B18" s="2">
        <v>42775</v>
      </c>
    </row>
    <row r="19" spans="1:3" x14ac:dyDescent="0.2">
      <c r="A19" s="2" t="s">
        <v>20</v>
      </c>
      <c r="B19" s="2">
        <v>71301</v>
      </c>
    </row>
    <row r="20" spans="1:3" x14ac:dyDescent="0.2">
      <c r="A20" s="2" t="s">
        <v>24</v>
      </c>
      <c r="B20" s="2">
        <v>97810</v>
      </c>
    </row>
    <row r="22" spans="1:3" x14ac:dyDescent="0.2">
      <c r="A22" s="41" t="s">
        <v>0</v>
      </c>
      <c r="B22" s="2" t="s">
        <v>55</v>
      </c>
      <c r="C22" s="2" t="s">
        <v>56</v>
      </c>
    </row>
    <row r="23" spans="1:3" x14ac:dyDescent="0.2">
      <c r="A23" s="2" t="s">
        <v>21</v>
      </c>
      <c r="B23" s="6">
        <v>0.127</v>
      </c>
      <c r="C23" s="5">
        <v>3.9219999999999998E-2</v>
      </c>
    </row>
    <row r="24" spans="1:3" x14ac:dyDescent="0.2">
      <c r="A24" s="2" t="s">
        <v>17</v>
      </c>
      <c r="B24" s="6">
        <v>0.107</v>
      </c>
      <c r="C24" s="5">
        <v>2.4660000000000001E-2</v>
      </c>
    </row>
    <row r="25" spans="1:3" x14ac:dyDescent="0.2">
      <c r="A25" s="2" t="s">
        <v>18</v>
      </c>
      <c r="B25" s="6">
        <v>0.126</v>
      </c>
      <c r="C25" s="5">
        <v>2.4660000000000001E-2</v>
      </c>
    </row>
    <row r="26" spans="1:3" x14ac:dyDescent="0.2">
      <c r="A26" s="2" t="s">
        <v>22</v>
      </c>
      <c r="B26" s="6">
        <v>0.104</v>
      </c>
      <c r="C26" s="5">
        <v>2.4150000000000001E-2</v>
      </c>
    </row>
    <row r="27" spans="1:3" x14ac:dyDescent="0.2">
      <c r="A27" s="2" t="s">
        <v>16</v>
      </c>
      <c r="B27" s="6">
        <v>9.6000000000000002E-2</v>
      </c>
      <c r="C27" s="5">
        <v>4.5269999999999998E-2</v>
      </c>
    </row>
    <row r="28" spans="1:3" x14ac:dyDescent="0.2">
      <c r="A28" s="2" t="s">
        <v>15</v>
      </c>
      <c r="B28" s="6">
        <v>0.112</v>
      </c>
      <c r="C28" s="5">
        <v>4.1520000000000001E-2</v>
      </c>
    </row>
    <row r="29" spans="1:3" x14ac:dyDescent="0.2">
      <c r="A29" s="2" t="s">
        <v>10</v>
      </c>
      <c r="B29" s="6">
        <v>7.1999999999999995E-2</v>
      </c>
      <c r="C29" s="5">
        <v>2.3439999999999999E-2</v>
      </c>
    </row>
    <row r="30" spans="1:3" x14ac:dyDescent="0.2">
      <c r="A30" s="2" t="s">
        <v>26</v>
      </c>
      <c r="B30" s="6">
        <v>9.7000000000000003E-2</v>
      </c>
      <c r="C30" s="5">
        <v>2.512E-2</v>
      </c>
    </row>
    <row r="31" spans="1:3" x14ac:dyDescent="0.2">
      <c r="A31" s="2" t="s">
        <v>27</v>
      </c>
      <c r="B31" s="6">
        <v>0.115</v>
      </c>
      <c r="C31" s="5">
        <v>4.5769999999999998E-2</v>
      </c>
    </row>
    <row r="32" spans="1:3" x14ac:dyDescent="0.2">
      <c r="A32" s="2" t="s">
        <v>23</v>
      </c>
      <c r="B32" s="6">
        <v>0.125</v>
      </c>
      <c r="C32" s="5">
        <v>4.4150000000000002E-2</v>
      </c>
    </row>
    <row r="33" spans="1:3" x14ac:dyDescent="0.2">
      <c r="A33" s="2" t="s">
        <v>1</v>
      </c>
      <c r="B33" s="6">
        <v>8.2000000000000003E-2</v>
      </c>
      <c r="C33" s="5">
        <v>5.1900000000000002E-2</v>
      </c>
    </row>
    <row r="34" spans="1:3" x14ac:dyDescent="0.2">
      <c r="A34" s="2" t="s">
        <v>19</v>
      </c>
      <c r="B34" s="6">
        <v>0.104</v>
      </c>
      <c r="C34" s="5">
        <v>2.6069999999999999E-2</v>
      </c>
    </row>
    <row r="35" spans="1:3" x14ac:dyDescent="0.2">
      <c r="A35" s="2" t="s">
        <v>25</v>
      </c>
      <c r="B35" s="6">
        <v>0.106</v>
      </c>
      <c r="C35" s="5">
        <v>3.1210000000000002E-2</v>
      </c>
    </row>
    <row r="36" spans="1:3" x14ac:dyDescent="0.2">
      <c r="A36" s="2" t="s">
        <v>20</v>
      </c>
      <c r="B36" s="6">
        <v>0.1</v>
      </c>
      <c r="C36" s="5">
        <v>5.7590000000000002E-2</v>
      </c>
    </row>
    <row r="37" spans="1:3" x14ac:dyDescent="0.2">
      <c r="A37" s="2" t="s">
        <v>24</v>
      </c>
      <c r="B37" s="6">
        <v>0.11799999999999999</v>
      </c>
      <c r="C37" s="5">
        <v>3.4549999999999997E-2</v>
      </c>
    </row>
    <row r="39" spans="1:3" x14ac:dyDescent="0.2">
      <c r="A39" s="41" t="s">
        <v>0</v>
      </c>
      <c r="B39" s="2" t="s">
        <v>57</v>
      </c>
    </row>
    <row r="40" spans="1:3" x14ac:dyDescent="0.2">
      <c r="A40" s="2" t="s">
        <v>21</v>
      </c>
      <c r="B40" s="6">
        <v>0.315</v>
      </c>
    </row>
    <row r="41" spans="1:3" x14ac:dyDescent="0.2">
      <c r="A41" s="2" t="s">
        <v>17</v>
      </c>
      <c r="B41" s="6">
        <v>0.33200000000000002</v>
      </c>
    </row>
    <row r="42" spans="1:3" x14ac:dyDescent="0.2">
      <c r="A42" s="2" t="s">
        <v>18</v>
      </c>
      <c r="B42" s="6">
        <v>0.373</v>
      </c>
    </row>
    <row r="43" spans="1:3" x14ac:dyDescent="0.2">
      <c r="A43" s="2" t="s">
        <v>22</v>
      </c>
      <c r="B43" s="6">
        <v>0.26800000000000002</v>
      </c>
    </row>
    <row r="44" spans="1:3" x14ac:dyDescent="0.2">
      <c r="A44" s="2" t="s">
        <v>16</v>
      </c>
      <c r="B44" s="6">
        <v>0.33900000000000002</v>
      </c>
    </row>
    <row r="45" spans="1:3" x14ac:dyDescent="0.2">
      <c r="A45" s="2" t="s">
        <v>15</v>
      </c>
      <c r="B45" s="6">
        <v>0.35099999999999998</v>
      </c>
    </row>
    <row r="46" spans="1:3" x14ac:dyDescent="0.2">
      <c r="A46" s="2" t="s">
        <v>10</v>
      </c>
      <c r="B46" s="6">
        <v>0.29799999999999999</v>
      </c>
    </row>
    <row r="47" spans="1:3" x14ac:dyDescent="0.2">
      <c r="A47" s="2" t="s">
        <v>26</v>
      </c>
      <c r="B47" s="6">
        <v>0.28799999999999998</v>
      </c>
    </row>
    <row r="48" spans="1:3" x14ac:dyDescent="0.2">
      <c r="A48" s="2" t="s">
        <v>27</v>
      </c>
      <c r="B48" s="6">
        <v>0.35599999999999998</v>
      </c>
    </row>
    <row r="49" spans="1:3" x14ac:dyDescent="0.2">
      <c r="A49" s="2" t="s">
        <v>23</v>
      </c>
      <c r="B49" s="6">
        <v>0.37</v>
      </c>
    </row>
    <row r="50" spans="1:3" x14ac:dyDescent="0.2">
      <c r="A50" s="2" t="s">
        <v>1</v>
      </c>
      <c r="B50" s="6">
        <v>0.313</v>
      </c>
    </row>
    <row r="51" spans="1:3" x14ac:dyDescent="0.2">
      <c r="A51" s="2" t="s">
        <v>19</v>
      </c>
      <c r="B51" s="6">
        <v>0.26400000000000001</v>
      </c>
    </row>
    <row r="52" spans="1:3" x14ac:dyDescent="0.2">
      <c r="A52" s="2" t="s">
        <v>25</v>
      </c>
      <c r="B52" s="6">
        <v>0.34799999999999998</v>
      </c>
    </row>
    <row r="53" spans="1:3" x14ac:dyDescent="0.2">
      <c r="A53" s="2" t="s">
        <v>20</v>
      </c>
      <c r="B53" s="6">
        <v>0.317</v>
      </c>
    </row>
    <row r="54" spans="1:3" x14ac:dyDescent="0.2">
      <c r="A54" s="2" t="s">
        <v>24</v>
      </c>
      <c r="B54" s="6">
        <v>0.34399999999999997</v>
      </c>
    </row>
    <row r="56" spans="1:3" x14ac:dyDescent="0.2">
      <c r="A56" s="41" t="s">
        <v>0</v>
      </c>
      <c r="B56" s="2" t="s">
        <v>58</v>
      </c>
      <c r="C56" s="2" t="s">
        <v>59</v>
      </c>
    </row>
    <row r="57" spans="1:3" x14ac:dyDescent="0.2">
      <c r="A57" s="2" t="s">
        <v>21</v>
      </c>
      <c r="B57" s="7">
        <v>109.35</v>
      </c>
      <c r="C57" s="5">
        <v>0.44500000000000001</v>
      </c>
    </row>
    <row r="58" spans="1:3" x14ac:dyDescent="0.2">
      <c r="A58" s="2" t="s">
        <v>17</v>
      </c>
      <c r="B58" s="7">
        <v>97.38</v>
      </c>
      <c r="C58" s="5">
        <v>0.42099999999999999</v>
      </c>
    </row>
    <row r="59" spans="1:3" x14ac:dyDescent="0.2">
      <c r="A59" s="2" t="s">
        <v>18</v>
      </c>
      <c r="B59" s="7">
        <v>89.06</v>
      </c>
      <c r="C59" s="5">
        <v>0.443</v>
      </c>
    </row>
    <row r="60" spans="1:3" x14ac:dyDescent="0.2">
      <c r="A60" s="2" t="s">
        <v>22</v>
      </c>
      <c r="B60" s="7">
        <v>126.13</v>
      </c>
      <c r="C60" s="5">
        <v>0.54</v>
      </c>
    </row>
    <row r="61" spans="1:3" x14ac:dyDescent="0.2">
      <c r="A61" s="2" t="s">
        <v>16</v>
      </c>
      <c r="B61" s="7">
        <v>93.48</v>
      </c>
      <c r="C61" s="5">
        <v>0.51</v>
      </c>
    </row>
    <row r="62" spans="1:3" x14ac:dyDescent="0.2">
      <c r="A62" s="2" t="s">
        <v>15</v>
      </c>
      <c r="B62" s="7">
        <v>95.21</v>
      </c>
      <c r="C62" s="5">
        <v>0.46200000000000002</v>
      </c>
    </row>
    <row r="63" spans="1:3" x14ac:dyDescent="0.2">
      <c r="A63" s="2" t="s">
        <v>10</v>
      </c>
      <c r="B63" s="7">
        <v>110.46</v>
      </c>
      <c r="C63" s="5">
        <v>0.50600000000000001</v>
      </c>
    </row>
    <row r="64" spans="1:3" x14ac:dyDescent="0.2">
      <c r="A64" s="2" t="s">
        <v>26</v>
      </c>
      <c r="B64" s="7">
        <v>111.04</v>
      </c>
      <c r="C64" s="5">
        <v>0.502</v>
      </c>
    </row>
    <row r="65" spans="1:6" x14ac:dyDescent="0.2">
      <c r="A65" s="2" t="s">
        <v>27</v>
      </c>
      <c r="B65" s="7">
        <v>92.49</v>
      </c>
      <c r="C65" s="5">
        <v>0.46</v>
      </c>
    </row>
    <row r="66" spans="1:6" x14ac:dyDescent="0.2">
      <c r="A66" s="2" t="s">
        <v>23</v>
      </c>
      <c r="B66" s="7">
        <v>93.14</v>
      </c>
      <c r="C66" s="5">
        <v>0.44800000000000001</v>
      </c>
    </row>
    <row r="67" spans="1:6" x14ac:dyDescent="0.2">
      <c r="A67" s="2" t="s">
        <v>1</v>
      </c>
      <c r="B67" s="7">
        <v>102.9</v>
      </c>
      <c r="C67" s="5">
        <v>0.47899999999999998</v>
      </c>
    </row>
    <row r="68" spans="1:6" x14ac:dyDescent="0.2">
      <c r="A68" s="2" t="s">
        <v>19</v>
      </c>
      <c r="B68" s="7">
        <v>112.39</v>
      </c>
      <c r="C68" s="5">
        <v>0.53</v>
      </c>
    </row>
    <row r="69" spans="1:6" x14ac:dyDescent="0.2">
      <c r="A69" s="2" t="s">
        <v>25</v>
      </c>
      <c r="B69" s="7">
        <v>102.85</v>
      </c>
      <c r="C69" s="5">
        <v>0.498</v>
      </c>
    </row>
    <row r="70" spans="1:6" x14ac:dyDescent="0.2">
      <c r="A70" s="2" t="s">
        <v>20</v>
      </c>
      <c r="B70" s="7">
        <v>118.07</v>
      </c>
      <c r="C70" s="5">
        <v>0.495</v>
      </c>
    </row>
    <row r="71" spans="1:6" x14ac:dyDescent="0.2">
      <c r="A71" s="2" t="s">
        <v>24</v>
      </c>
      <c r="B71" s="7">
        <v>92.44</v>
      </c>
      <c r="C71" s="5">
        <v>0.41599999999999998</v>
      </c>
    </row>
    <row r="73" spans="1:6" x14ac:dyDescent="0.2">
      <c r="A73" s="41" t="s">
        <v>0</v>
      </c>
      <c r="B73" s="2" t="s">
        <v>60</v>
      </c>
      <c r="C73"/>
      <c r="F73" s="2"/>
    </row>
    <row r="74" spans="1:6" x14ac:dyDescent="0.2">
      <c r="A74" s="2" t="s">
        <v>21</v>
      </c>
      <c r="B74" s="7">
        <v>322.3</v>
      </c>
      <c r="C74"/>
      <c r="F74" s="2"/>
    </row>
    <row r="75" spans="1:6" x14ac:dyDescent="0.2">
      <c r="A75" s="2" t="s">
        <v>17</v>
      </c>
      <c r="B75" s="7">
        <v>230.1</v>
      </c>
      <c r="C75"/>
      <c r="F75" s="2"/>
    </row>
    <row r="76" spans="1:6" x14ac:dyDescent="0.2">
      <c r="A76" s="2" t="s">
        <v>18</v>
      </c>
      <c r="B76" s="7">
        <v>193.9</v>
      </c>
      <c r="C76"/>
      <c r="F76" s="2"/>
    </row>
    <row r="77" spans="1:6" x14ac:dyDescent="0.2">
      <c r="A77" s="2" t="s">
        <v>22</v>
      </c>
      <c r="B77" s="7">
        <v>401.2</v>
      </c>
      <c r="C77"/>
      <c r="F77" s="2"/>
    </row>
    <row r="78" spans="1:6" x14ac:dyDescent="0.2">
      <c r="A78" s="2" t="s">
        <v>16</v>
      </c>
      <c r="B78" s="7">
        <v>304.2</v>
      </c>
      <c r="C78"/>
      <c r="F78" s="2"/>
    </row>
    <row r="79" spans="1:6" x14ac:dyDescent="0.2">
      <c r="A79" s="2" t="s">
        <v>15</v>
      </c>
      <c r="B79" s="7">
        <v>270</v>
      </c>
      <c r="C79"/>
      <c r="F79" s="2"/>
    </row>
    <row r="80" spans="1:6" x14ac:dyDescent="0.2">
      <c r="A80" s="2" t="s">
        <v>10</v>
      </c>
      <c r="B80" s="7">
        <v>317.89999999999998</v>
      </c>
      <c r="C80"/>
      <c r="F80" s="2"/>
    </row>
    <row r="81" spans="1:6" x14ac:dyDescent="0.2">
      <c r="A81" s="2" t="s">
        <v>26</v>
      </c>
      <c r="B81" s="7">
        <v>427.8</v>
      </c>
      <c r="C81"/>
      <c r="F81" s="2"/>
    </row>
    <row r="82" spans="1:6" x14ac:dyDescent="0.2">
      <c r="A82" s="2" t="s">
        <v>27</v>
      </c>
      <c r="B82" s="7">
        <v>244.3</v>
      </c>
      <c r="C82"/>
      <c r="F82" s="2"/>
    </row>
    <row r="83" spans="1:6" x14ac:dyDescent="0.2">
      <c r="A83" s="2" t="s">
        <v>23</v>
      </c>
      <c r="B83" s="7">
        <v>191.7</v>
      </c>
      <c r="C83"/>
      <c r="F83" s="2"/>
    </row>
    <row r="84" spans="1:6" x14ac:dyDescent="0.2">
      <c r="A84" s="2" t="s">
        <v>1</v>
      </c>
      <c r="B84" s="7">
        <v>314.10000000000002</v>
      </c>
      <c r="C84"/>
      <c r="F84" s="2"/>
    </row>
    <row r="85" spans="1:6" x14ac:dyDescent="0.2">
      <c r="A85" s="2" t="s">
        <v>19</v>
      </c>
      <c r="B85" s="7">
        <v>408.2</v>
      </c>
      <c r="C85"/>
      <c r="F85" s="2"/>
    </row>
    <row r="86" spans="1:6" x14ac:dyDescent="0.2">
      <c r="A86" s="2" t="s">
        <v>25</v>
      </c>
      <c r="B86" s="7">
        <v>505.6</v>
      </c>
      <c r="C86"/>
      <c r="F86" s="2"/>
    </row>
    <row r="87" spans="1:6" x14ac:dyDescent="0.2">
      <c r="A87" s="2" t="s">
        <v>20</v>
      </c>
      <c r="B87" s="7">
        <v>451</v>
      </c>
      <c r="C87"/>
      <c r="F87" s="2"/>
    </row>
    <row r="88" spans="1:6" x14ac:dyDescent="0.2">
      <c r="A88" s="2" t="s">
        <v>24</v>
      </c>
      <c r="B88" s="7">
        <v>203.2</v>
      </c>
      <c r="C88"/>
      <c r="F88" s="2"/>
    </row>
    <row r="90" spans="1:6" x14ac:dyDescent="0.2">
      <c r="A90" s="41" t="s">
        <v>0</v>
      </c>
      <c r="B90" s="2" t="s">
        <v>53</v>
      </c>
    </row>
    <row r="91" spans="1:6" x14ac:dyDescent="0.2">
      <c r="A91" s="2" t="s">
        <v>21</v>
      </c>
      <c r="B91" s="3">
        <v>9</v>
      </c>
    </row>
    <row r="92" spans="1:6" x14ac:dyDescent="0.2">
      <c r="A92" s="2" t="s">
        <v>17</v>
      </c>
      <c r="B92" s="3">
        <v>5</v>
      </c>
    </row>
    <row r="93" spans="1:6" x14ac:dyDescent="0.2">
      <c r="A93" s="2" t="s">
        <v>18</v>
      </c>
      <c r="B93" s="3">
        <v>6</v>
      </c>
    </row>
    <row r="94" spans="1:6" x14ac:dyDescent="0.2">
      <c r="A94" s="2" t="s">
        <v>22</v>
      </c>
      <c r="B94" s="3">
        <v>10</v>
      </c>
    </row>
    <row r="95" spans="1:6" x14ac:dyDescent="0.2">
      <c r="A95" s="2" t="s">
        <v>16</v>
      </c>
      <c r="B95" s="3">
        <v>4</v>
      </c>
    </row>
    <row r="96" spans="1:6" x14ac:dyDescent="0.2">
      <c r="A96" s="2" t="s">
        <v>15</v>
      </c>
      <c r="B96" s="3">
        <v>3</v>
      </c>
    </row>
    <row r="97" spans="1:2" x14ac:dyDescent="0.2">
      <c r="A97" s="2" t="s">
        <v>10</v>
      </c>
      <c r="B97" s="3">
        <v>2</v>
      </c>
    </row>
    <row r="98" spans="1:2" x14ac:dyDescent="0.2">
      <c r="A98" s="2" t="s">
        <v>26</v>
      </c>
      <c r="B98" s="3">
        <v>14</v>
      </c>
    </row>
    <row r="99" spans="1:2" x14ac:dyDescent="0.2">
      <c r="A99" s="2" t="s">
        <v>27</v>
      </c>
      <c r="B99" s="3">
        <v>15</v>
      </c>
    </row>
    <row r="100" spans="1:2" x14ac:dyDescent="0.2">
      <c r="A100" s="2" t="s">
        <v>23</v>
      </c>
      <c r="B100" s="3">
        <v>11</v>
      </c>
    </row>
    <row r="101" spans="1:2" x14ac:dyDescent="0.2">
      <c r="A101" s="2" t="s">
        <v>1</v>
      </c>
      <c r="B101" s="3">
        <v>1</v>
      </c>
    </row>
    <row r="102" spans="1:2" x14ac:dyDescent="0.2">
      <c r="A102" s="2" t="s">
        <v>19</v>
      </c>
      <c r="B102" s="3">
        <v>7</v>
      </c>
    </row>
    <row r="103" spans="1:2" x14ac:dyDescent="0.2">
      <c r="A103" s="2" t="s">
        <v>25</v>
      </c>
      <c r="B103" s="3">
        <v>13</v>
      </c>
    </row>
    <row r="104" spans="1:2" x14ac:dyDescent="0.2">
      <c r="A104" s="2" t="s">
        <v>20</v>
      </c>
      <c r="B104" s="3">
        <v>8</v>
      </c>
    </row>
    <row r="105" spans="1:2" x14ac:dyDescent="0.2">
      <c r="A105" s="2" t="s">
        <v>24</v>
      </c>
      <c r="B105" s="3">
        <v>12</v>
      </c>
    </row>
    <row r="107" spans="1:2" x14ac:dyDescent="0.2">
      <c r="A107" s="41" t="s">
        <v>0</v>
      </c>
      <c r="B107" s="2" t="s">
        <v>77</v>
      </c>
    </row>
    <row r="108" spans="1:2" x14ac:dyDescent="0.2">
      <c r="A108" s="2" t="s">
        <v>21</v>
      </c>
      <c r="B108" s="2">
        <v>38.9</v>
      </c>
    </row>
    <row r="109" spans="1:2" x14ac:dyDescent="0.2">
      <c r="A109" s="2" t="s">
        <v>17</v>
      </c>
      <c r="B109" s="2">
        <v>44.3</v>
      </c>
    </row>
    <row r="110" spans="1:2" x14ac:dyDescent="0.2">
      <c r="A110" s="2" t="s">
        <v>18</v>
      </c>
      <c r="B110" s="2">
        <v>37.6</v>
      </c>
    </row>
    <row r="111" spans="1:2" x14ac:dyDescent="0.2">
      <c r="A111" s="2" t="s">
        <v>22</v>
      </c>
      <c r="B111" s="2">
        <v>41.4</v>
      </c>
    </row>
    <row r="112" spans="1:2" x14ac:dyDescent="0.2">
      <c r="A112" s="2" t="s">
        <v>16</v>
      </c>
      <c r="B112" s="2">
        <v>38.299999999999997</v>
      </c>
    </row>
    <row r="113" spans="1:2" x14ac:dyDescent="0.2">
      <c r="A113" s="2" t="s">
        <v>15</v>
      </c>
      <c r="B113" s="2">
        <v>37</v>
      </c>
    </row>
    <row r="114" spans="1:2" x14ac:dyDescent="0.2">
      <c r="A114" s="2" t="s">
        <v>10</v>
      </c>
      <c r="B114" s="2">
        <v>38.9</v>
      </c>
    </row>
    <row r="115" spans="1:2" x14ac:dyDescent="0.2">
      <c r="A115" s="2" t="s">
        <v>26</v>
      </c>
      <c r="B115" s="2">
        <v>44.1</v>
      </c>
    </row>
    <row r="116" spans="1:2" x14ac:dyDescent="0.2">
      <c r="A116" s="2" t="s">
        <v>27</v>
      </c>
      <c r="B116" s="2">
        <v>37</v>
      </c>
    </row>
    <row r="117" spans="1:2" x14ac:dyDescent="0.2">
      <c r="A117" s="2" t="s">
        <v>23</v>
      </c>
      <c r="B117" s="2">
        <v>39.6</v>
      </c>
    </row>
    <row r="118" spans="1:2" x14ac:dyDescent="0.2">
      <c r="A118" s="2" t="s">
        <v>1</v>
      </c>
      <c r="B118" s="2">
        <v>51.2</v>
      </c>
    </row>
    <row r="119" spans="1:2" x14ac:dyDescent="0.2">
      <c r="A119" s="2" t="s">
        <v>19</v>
      </c>
      <c r="B119" s="2">
        <v>38.5</v>
      </c>
    </row>
    <row r="120" spans="1:2" x14ac:dyDescent="0.2">
      <c r="A120" s="2" t="s">
        <v>25</v>
      </c>
      <c r="B120" s="2">
        <v>45</v>
      </c>
    </row>
    <row r="121" spans="1:2" x14ac:dyDescent="0.2">
      <c r="A121" s="2" t="s">
        <v>20</v>
      </c>
      <c r="B121" s="2">
        <v>33.5</v>
      </c>
    </row>
    <row r="122" spans="1:2" x14ac:dyDescent="0.2">
      <c r="A122" s="2" t="s">
        <v>24</v>
      </c>
      <c r="B122" s="2">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696EC-0922-4D1C-A6EF-5143C2EC3136}">
  <sheetPr codeName="Sheet4"/>
  <dimension ref="A1:R33"/>
  <sheetViews>
    <sheetView workbookViewId="0"/>
  </sheetViews>
  <sheetFormatPr baseColWidth="10" defaultColWidth="9.33203125" defaultRowHeight="15" x14ac:dyDescent="0.2"/>
  <cols>
    <col min="1" max="1" width="13" bestFit="1" customWidth="1"/>
    <col min="2" max="2" width="12.6640625" bestFit="1" customWidth="1"/>
    <col min="3" max="3" width="15.1640625" bestFit="1" customWidth="1"/>
    <col min="4" max="4" width="18.1640625" bestFit="1" customWidth="1"/>
    <col min="5" max="5" width="18.5" bestFit="1" customWidth="1"/>
    <col min="6" max="6" width="14.6640625" bestFit="1" customWidth="1"/>
    <col min="7" max="7" width="18" bestFit="1" customWidth="1"/>
    <col min="8" max="8" width="18.6640625" bestFit="1" customWidth="1"/>
    <col min="9" max="9" width="20.5" bestFit="1" customWidth="1"/>
    <col min="10" max="11" width="16" bestFit="1" customWidth="1"/>
    <col min="12" max="12" width="18.6640625" bestFit="1" customWidth="1"/>
    <col min="13" max="13" width="18.83203125" bestFit="1" customWidth="1"/>
    <col min="14" max="14" width="28" bestFit="1" customWidth="1"/>
    <col min="15" max="15" width="32.5" bestFit="1" customWidth="1"/>
    <col min="16" max="16" width="14.83203125" bestFit="1" customWidth="1"/>
  </cols>
  <sheetData>
    <row r="1" spans="1:18" x14ac:dyDescent="0.2">
      <c r="A1" s="8" t="s">
        <v>11</v>
      </c>
      <c r="B1" s="8" t="s">
        <v>0</v>
      </c>
      <c r="C1" s="8" t="s">
        <v>12</v>
      </c>
      <c r="D1" s="8" t="s">
        <v>8</v>
      </c>
      <c r="E1" s="8" t="s">
        <v>9</v>
      </c>
      <c r="F1" s="8" t="s">
        <v>2</v>
      </c>
      <c r="G1" s="8" t="s">
        <v>3</v>
      </c>
      <c r="H1" s="8" t="s">
        <v>4</v>
      </c>
      <c r="I1" s="8" t="s">
        <v>37</v>
      </c>
      <c r="J1" s="8" t="s">
        <v>5</v>
      </c>
      <c r="K1" s="8" t="s">
        <v>6</v>
      </c>
      <c r="L1" s="8" t="s">
        <v>47</v>
      </c>
      <c r="M1" s="8" t="s">
        <v>7</v>
      </c>
      <c r="N1" s="8" t="s">
        <v>44</v>
      </c>
      <c r="O1" s="8" t="s">
        <v>45</v>
      </c>
      <c r="P1" s="8" t="s">
        <v>46</v>
      </c>
    </row>
    <row r="2" spans="1:18" x14ac:dyDescent="0.2">
      <c r="A2" s="3">
        <v>1</v>
      </c>
      <c r="B2" s="2" t="s">
        <v>1</v>
      </c>
      <c r="C2" s="2" t="s">
        <v>13</v>
      </c>
      <c r="D2" s="3">
        <v>84898</v>
      </c>
      <c r="E2" s="9">
        <v>273</v>
      </c>
      <c r="F2" s="3">
        <v>3417734</v>
      </c>
      <c r="G2" s="4">
        <v>40959</v>
      </c>
      <c r="H2" s="5">
        <v>3.6999999999999998E-2</v>
      </c>
      <c r="I2" s="5">
        <v>6.0000000000000001E-3</v>
      </c>
      <c r="J2" s="6">
        <v>0.313</v>
      </c>
      <c r="K2" s="6">
        <v>8.2000000000000003E-2</v>
      </c>
      <c r="L2" s="5">
        <v>0.47899999999999998</v>
      </c>
      <c r="M2" s="7">
        <v>51.2</v>
      </c>
      <c r="N2" s="7">
        <v>102.9</v>
      </c>
      <c r="O2" s="7">
        <v>314.10000000000002</v>
      </c>
      <c r="P2" s="5">
        <v>5.1900000000000002E-2</v>
      </c>
      <c r="R2" s="1"/>
    </row>
    <row r="3" spans="1:18" x14ac:dyDescent="0.2">
      <c r="A3" s="3">
        <v>2</v>
      </c>
      <c r="B3" s="2" t="s">
        <v>10</v>
      </c>
      <c r="C3" s="2" t="s">
        <v>14</v>
      </c>
      <c r="D3" s="3">
        <v>9350</v>
      </c>
      <c r="E3" s="9">
        <v>111</v>
      </c>
      <c r="F3" s="3">
        <v>1402054</v>
      </c>
      <c r="G3" s="4">
        <v>49617</v>
      </c>
      <c r="H3" s="5">
        <v>1.4999999999999999E-2</v>
      </c>
      <c r="I3" s="5">
        <v>7.0000000000000001E-3</v>
      </c>
      <c r="J3" s="6">
        <v>0.29799999999999999</v>
      </c>
      <c r="K3" s="6">
        <v>7.1999999999999995E-2</v>
      </c>
      <c r="L3" s="5">
        <v>0.50600000000000001</v>
      </c>
      <c r="M3" s="7">
        <v>38.9</v>
      </c>
      <c r="N3" s="7">
        <v>110.46</v>
      </c>
      <c r="O3" s="7">
        <v>317.89999999999998</v>
      </c>
      <c r="P3" s="5">
        <v>2.3439999999999999E-2</v>
      </c>
      <c r="R3" s="1"/>
    </row>
    <row r="4" spans="1:18" x14ac:dyDescent="0.2">
      <c r="A4" s="3">
        <v>3</v>
      </c>
      <c r="B4" s="2" t="s">
        <v>15</v>
      </c>
      <c r="C4" s="2" t="s">
        <v>28</v>
      </c>
      <c r="D4" s="3">
        <v>77347</v>
      </c>
      <c r="E4" s="9">
        <v>178</v>
      </c>
      <c r="F4" s="3">
        <v>1978379</v>
      </c>
      <c r="G4" s="4">
        <v>41403</v>
      </c>
      <c r="H4" s="5">
        <v>0.01</v>
      </c>
      <c r="I4" s="5">
        <v>0</v>
      </c>
      <c r="J4" s="6">
        <v>0.35099999999999998</v>
      </c>
      <c r="K4" s="6">
        <v>0.112</v>
      </c>
      <c r="L4" s="5">
        <v>0.46200000000000002</v>
      </c>
      <c r="M4" s="7">
        <v>37</v>
      </c>
      <c r="N4" s="7">
        <v>95.21</v>
      </c>
      <c r="O4" s="7">
        <v>270</v>
      </c>
      <c r="P4" s="5">
        <v>4.1520000000000001E-2</v>
      </c>
      <c r="R4" s="1"/>
    </row>
    <row r="5" spans="1:18" x14ac:dyDescent="0.2">
      <c r="A5" s="3">
        <v>4</v>
      </c>
      <c r="B5" s="2" t="s">
        <v>16</v>
      </c>
      <c r="C5" s="2" t="s">
        <v>29</v>
      </c>
      <c r="D5" s="3">
        <v>86943</v>
      </c>
      <c r="E5" s="9">
        <v>472</v>
      </c>
      <c r="F5" s="3">
        <v>5737915</v>
      </c>
      <c r="G5" s="4">
        <v>47393</v>
      </c>
      <c r="H5" s="5">
        <v>0.01</v>
      </c>
      <c r="I5" s="5">
        <v>-1E-3</v>
      </c>
      <c r="J5" s="6">
        <v>0.33900000000000002</v>
      </c>
      <c r="K5" s="6">
        <v>9.6000000000000002E-2</v>
      </c>
      <c r="L5" s="5">
        <v>0.51</v>
      </c>
      <c r="M5" s="7">
        <v>38.299999999999997</v>
      </c>
      <c r="N5" s="7">
        <v>93.48</v>
      </c>
      <c r="O5" s="7">
        <v>304.2</v>
      </c>
      <c r="P5" s="5">
        <v>4.5269999999999998E-2</v>
      </c>
      <c r="R5" s="1"/>
    </row>
    <row r="6" spans="1:18" x14ac:dyDescent="0.2">
      <c r="A6" s="3">
        <v>5</v>
      </c>
      <c r="B6" s="2" t="s">
        <v>17</v>
      </c>
      <c r="C6" s="2" t="s">
        <v>30</v>
      </c>
      <c r="D6" s="3">
        <v>83569</v>
      </c>
      <c r="E6" s="9">
        <v>119</v>
      </c>
      <c r="F6" s="3">
        <v>1964726</v>
      </c>
      <c r="G6" s="4">
        <v>37395</v>
      </c>
      <c r="H6" s="5">
        <v>3.1E-2</v>
      </c>
      <c r="I6" s="5">
        <v>1.7999999999999999E-2</v>
      </c>
      <c r="J6" s="6">
        <v>0.33200000000000002</v>
      </c>
      <c r="K6" s="6">
        <v>0.107</v>
      </c>
      <c r="L6" s="5">
        <v>0.42099999999999999</v>
      </c>
      <c r="M6" s="7">
        <v>44.3</v>
      </c>
      <c r="N6" s="7">
        <v>97.38</v>
      </c>
      <c r="O6" s="7">
        <v>230.1</v>
      </c>
      <c r="P6" s="5">
        <v>2.4660000000000001E-2</v>
      </c>
      <c r="R6" s="1"/>
    </row>
    <row r="7" spans="1:18" x14ac:dyDescent="0.2">
      <c r="A7" s="3">
        <v>6</v>
      </c>
      <c r="B7" s="2" t="s">
        <v>18</v>
      </c>
      <c r="C7" s="2" t="s">
        <v>31</v>
      </c>
      <c r="D7" s="3">
        <v>56273</v>
      </c>
      <c r="E7" s="9">
        <v>249</v>
      </c>
      <c r="F7" s="3">
        <v>3207004</v>
      </c>
      <c r="G7" s="4">
        <v>41625</v>
      </c>
      <c r="H7" s="5">
        <v>1.6E-2</v>
      </c>
      <c r="I7" s="5">
        <v>1E-3</v>
      </c>
      <c r="J7" s="6">
        <v>0.373</v>
      </c>
      <c r="K7" s="6">
        <v>0.126</v>
      </c>
      <c r="L7" s="5">
        <v>0.443</v>
      </c>
      <c r="M7" s="7">
        <v>37.6</v>
      </c>
      <c r="N7" s="7">
        <v>89.06</v>
      </c>
      <c r="O7" s="7">
        <v>193.9</v>
      </c>
      <c r="P7" s="5">
        <v>2.4660000000000001E-2</v>
      </c>
      <c r="R7" s="1"/>
    </row>
    <row r="8" spans="1:18" x14ac:dyDescent="0.2">
      <c r="A8" s="3">
        <v>7</v>
      </c>
      <c r="B8" s="2" t="s">
        <v>19</v>
      </c>
      <c r="C8" s="2" t="s">
        <v>32</v>
      </c>
      <c r="D8" s="3">
        <v>9615</v>
      </c>
      <c r="E8" s="9">
        <v>43</v>
      </c>
      <c r="F8" s="3">
        <v>647464</v>
      </c>
      <c r="G8" s="4">
        <v>42147</v>
      </c>
      <c r="H8" s="5">
        <v>2.3E-2</v>
      </c>
      <c r="I8" s="5">
        <v>5.0000000000000001E-3</v>
      </c>
      <c r="J8" s="6">
        <v>0.26400000000000001</v>
      </c>
      <c r="K8" s="6">
        <v>0.104</v>
      </c>
      <c r="L8" s="5">
        <v>0.53</v>
      </c>
      <c r="M8" s="7">
        <v>38.5</v>
      </c>
      <c r="N8" s="7">
        <v>112.39</v>
      </c>
      <c r="O8" s="7">
        <v>408.2</v>
      </c>
      <c r="P8" s="5">
        <v>2.6069999999999999E-2</v>
      </c>
      <c r="R8" s="1"/>
    </row>
    <row r="9" spans="1:18" x14ac:dyDescent="0.2">
      <c r="A9" s="3">
        <v>8</v>
      </c>
      <c r="B9" s="2" t="s">
        <v>20</v>
      </c>
      <c r="C9" s="2" t="s">
        <v>33</v>
      </c>
      <c r="D9" s="3">
        <v>71301</v>
      </c>
      <c r="E9" s="9">
        <v>802</v>
      </c>
      <c r="F9" s="3">
        <v>7812880</v>
      </c>
      <c r="G9" s="4">
        <v>51640</v>
      </c>
      <c r="H9" s="5">
        <v>2.7E-2</v>
      </c>
      <c r="I9" s="5">
        <v>2E-3</v>
      </c>
      <c r="J9" s="6">
        <v>0.317</v>
      </c>
      <c r="K9" s="6">
        <v>0.1</v>
      </c>
      <c r="L9" s="5">
        <v>0.495</v>
      </c>
      <c r="M9" s="7">
        <v>33.5</v>
      </c>
      <c r="N9" s="7">
        <v>118.07</v>
      </c>
      <c r="O9" s="7">
        <v>451</v>
      </c>
      <c r="P9" s="5">
        <v>5.7590000000000002E-2</v>
      </c>
      <c r="R9" s="1"/>
    </row>
    <row r="10" spans="1:18" x14ac:dyDescent="0.2">
      <c r="A10" s="3">
        <v>9</v>
      </c>
      <c r="B10" s="2" t="s">
        <v>21</v>
      </c>
      <c r="C10" s="2" t="s">
        <v>34</v>
      </c>
      <c r="D10" s="3">
        <v>71404</v>
      </c>
      <c r="E10" s="9">
        <v>1580</v>
      </c>
      <c r="F10" s="3">
        <v>22610726</v>
      </c>
      <c r="G10" s="4">
        <v>39920</v>
      </c>
      <c r="H10" s="5">
        <v>4.8000000000000001E-2</v>
      </c>
      <c r="I10" s="5">
        <v>1.7000000000000001E-2</v>
      </c>
      <c r="J10" s="6">
        <v>0.315</v>
      </c>
      <c r="K10" s="6">
        <v>0.127</v>
      </c>
      <c r="L10" s="5">
        <v>0.44500000000000001</v>
      </c>
      <c r="M10" s="7">
        <v>38.9</v>
      </c>
      <c r="N10" s="7">
        <v>109.35</v>
      </c>
      <c r="O10" s="7">
        <v>322.3</v>
      </c>
      <c r="P10" s="5">
        <v>3.9219999999999998E-2</v>
      </c>
      <c r="R10" s="1"/>
    </row>
    <row r="11" spans="1:18" x14ac:dyDescent="0.2">
      <c r="A11" s="3">
        <v>10</v>
      </c>
      <c r="B11" s="2" t="s">
        <v>22</v>
      </c>
      <c r="C11" s="2" t="s">
        <v>35</v>
      </c>
      <c r="D11" s="3">
        <v>10554</v>
      </c>
      <c r="E11" s="9">
        <v>734</v>
      </c>
      <c r="F11" s="3">
        <v>7001399</v>
      </c>
      <c r="G11" s="4">
        <v>52528</v>
      </c>
      <c r="H11" s="5">
        <v>2.1999999999999999E-2</v>
      </c>
      <c r="I11" s="5">
        <v>-1E-3</v>
      </c>
      <c r="J11" s="6">
        <v>0.26800000000000002</v>
      </c>
      <c r="K11" s="6">
        <v>0.104</v>
      </c>
      <c r="L11" s="5">
        <v>0.54</v>
      </c>
      <c r="M11" s="7">
        <v>41.4</v>
      </c>
      <c r="N11" s="7">
        <v>126.13</v>
      </c>
      <c r="O11" s="7">
        <v>401.2</v>
      </c>
      <c r="P11" s="5">
        <v>2.4150000000000001E-2</v>
      </c>
      <c r="R11" s="1"/>
    </row>
    <row r="12" spans="1:18" x14ac:dyDescent="0.2">
      <c r="A12" s="3">
        <v>11</v>
      </c>
      <c r="B12" s="2" t="s">
        <v>23</v>
      </c>
      <c r="C12" s="2" t="s">
        <v>39</v>
      </c>
      <c r="D12" s="3">
        <v>77116</v>
      </c>
      <c r="E12" s="9">
        <v>72</v>
      </c>
      <c r="F12" s="3">
        <v>919318</v>
      </c>
      <c r="G12" s="4">
        <v>40978</v>
      </c>
      <c r="H12" s="5">
        <v>1.9E-2</v>
      </c>
      <c r="I12" s="5">
        <v>8.9999999999999993E-3</v>
      </c>
      <c r="J12" s="6">
        <v>0.37</v>
      </c>
      <c r="K12" s="6">
        <v>0.125</v>
      </c>
      <c r="L12" s="5">
        <v>0.44800000000000001</v>
      </c>
      <c r="M12" s="7">
        <v>39.6</v>
      </c>
      <c r="N12" s="7">
        <v>93.14</v>
      </c>
      <c r="O12" s="7">
        <v>191.7</v>
      </c>
      <c r="P12" s="5">
        <v>4.4150000000000002E-2</v>
      </c>
      <c r="R12" s="1"/>
    </row>
    <row r="13" spans="1:18" x14ac:dyDescent="0.2">
      <c r="A13" s="3">
        <v>12</v>
      </c>
      <c r="B13" s="2" t="s">
        <v>24</v>
      </c>
      <c r="C13" s="2" t="s">
        <v>40</v>
      </c>
      <c r="D13" s="3">
        <v>97810</v>
      </c>
      <c r="E13" s="9">
        <v>50</v>
      </c>
      <c r="F13" s="3">
        <v>584057</v>
      </c>
      <c r="G13" s="4">
        <v>39954</v>
      </c>
      <c r="H13" s="5">
        <v>1.2E-2</v>
      </c>
      <c r="I13" s="5">
        <v>4.0000000000000001E-3</v>
      </c>
      <c r="J13" s="6">
        <v>0.34399999999999997</v>
      </c>
      <c r="K13" s="6">
        <v>0.11799999999999999</v>
      </c>
      <c r="L13" s="5">
        <v>0.41599999999999998</v>
      </c>
      <c r="M13" s="7">
        <v>45</v>
      </c>
      <c r="N13" s="7">
        <v>92.44</v>
      </c>
      <c r="O13" s="7">
        <v>203.2</v>
      </c>
      <c r="P13" s="5">
        <v>3.4549999999999997E-2</v>
      </c>
      <c r="R13" s="1"/>
    </row>
    <row r="14" spans="1:18" x14ac:dyDescent="0.2">
      <c r="A14" s="3">
        <v>13</v>
      </c>
      <c r="B14" s="2" t="s">
        <v>25</v>
      </c>
      <c r="C14" s="2" t="s">
        <v>41</v>
      </c>
      <c r="D14" s="3">
        <v>42775</v>
      </c>
      <c r="E14" s="9">
        <v>707</v>
      </c>
      <c r="F14" s="3">
        <v>8715698</v>
      </c>
      <c r="G14" s="4">
        <v>48178</v>
      </c>
      <c r="H14" s="5">
        <v>0.03</v>
      </c>
      <c r="I14" s="5">
        <v>2E-3</v>
      </c>
      <c r="J14" s="6">
        <v>0.34799999999999998</v>
      </c>
      <c r="K14" s="6">
        <v>0.106</v>
      </c>
      <c r="L14" s="5">
        <v>0.498</v>
      </c>
      <c r="M14" s="7">
        <v>45</v>
      </c>
      <c r="N14" s="7">
        <v>102.85</v>
      </c>
      <c r="O14" s="7">
        <v>505.6</v>
      </c>
      <c r="P14" s="5">
        <v>3.1210000000000002E-2</v>
      </c>
      <c r="R14" s="1"/>
    </row>
    <row r="15" spans="1:18" x14ac:dyDescent="0.2">
      <c r="A15" s="3">
        <v>14</v>
      </c>
      <c r="B15" s="2" t="s">
        <v>26</v>
      </c>
      <c r="C15" s="2" t="s">
        <v>42</v>
      </c>
      <c r="D15" s="3">
        <v>8719</v>
      </c>
      <c r="E15" s="9">
        <v>799</v>
      </c>
      <c r="F15" s="3">
        <v>9290841</v>
      </c>
      <c r="G15" s="4">
        <v>51884</v>
      </c>
      <c r="H15" s="5">
        <v>3.2000000000000001E-2</v>
      </c>
      <c r="I15" s="5">
        <v>-1E-3</v>
      </c>
      <c r="J15" s="6">
        <v>0.28799999999999998</v>
      </c>
      <c r="K15" s="6">
        <v>9.7000000000000003E-2</v>
      </c>
      <c r="L15" s="5">
        <v>0.502</v>
      </c>
      <c r="M15" s="7">
        <v>44.1</v>
      </c>
      <c r="N15" s="7">
        <v>111.04</v>
      </c>
      <c r="O15" s="7">
        <v>427.8</v>
      </c>
      <c r="P15" s="5">
        <v>2.512E-2</v>
      </c>
      <c r="R15" s="1"/>
    </row>
    <row r="16" spans="1:18" x14ac:dyDescent="0.2">
      <c r="A16" s="3">
        <v>15</v>
      </c>
      <c r="B16" s="2" t="s">
        <v>27</v>
      </c>
      <c r="C16" s="2" t="s">
        <v>43</v>
      </c>
      <c r="D16" s="3">
        <v>70699</v>
      </c>
      <c r="E16" s="9">
        <v>74</v>
      </c>
      <c r="F16" s="3">
        <v>783926</v>
      </c>
      <c r="G16" s="4">
        <v>42807</v>
      </c>
      <c r="H16" s="5">
        <v>1.7000000000000001E-2</v>
      </c>
      <c r="I16" s="5">
        <v>-1E-3</v>
      </c>
      <c r="J16" s="6">
        <v>0.35599999999999998</v>
      </c>
      <c r="K16" s="6">
        <v>0.115</v>
      </c>
      <c r="L16" s="5">
        <v>0.46</v>
      </c>
      <c r="M16" s="7">
        <v>37</v>
      </c>
      <c r="N16" s="7">
        <v>92.49</v>
      </c>
      <c r="O16" s="7">
        <v>244.3</v>
      </c>
      <c r="P16" s="5">
        <v>4.5769999999999998E-2</v>
      </c>
      <c r="R16" s="1"/>
    </row>
    <row r="19" spans="15:16" x14ac:dyDescent="0.2">
      <c r="O19" s="7"/>
      <c r="P19" s="1"/>
    </row>
    <row r="20" spans="15:16" x14ac:dyDescent="0.2">
      <c r="O20" s="7"/>
      <c r="P20" s="1"/>
    </row>
    <row r="21" spans="15:16" x14ac:dyDescent="0.2">
      <c r="O21" s="7"/>
      <c r="P21" s="1"/>
    </row>
    <row r="22" spans="15:16" x14ac:dyDescent="0.2">
      <c r="O22" s="7"/>
      <c r="P22" s="1"/>
    </row>
    <row r="23" spans="15:16" x14ac:dyDescent="0.2">
      <c r="O23" s="7"/>
      <c r="P23" s="1"/>
    </row>
    <row r="24" spans="15:16" x14ac:dyDescent="0.2">
      <c r="O24" s="7"/>
      <c r="P24" s="1"/>
    </row>
    <row r="25" spans="15:16" x14ac:dyDescent="0.2">
      <c r="O25" s="7"/>
      <c r="P25" s="1"/>
    </row>
    <row r="26" spans="15:16" x14ac:dyDescent="0.2">
      <c r="O26" s="7"/>
      <c r="P26" s="1"/>
    </row>
    <row r="27" spans="15:16" x14ac:dyDescent="0.2">
      <c r="O27" s="7"/>
      <c r="P27" s="1"/>
    </row>
    <row r="28" spans="15:16" x14ac:dyDescent="0.2">
      <c r="O28" s="7"/>
      <c r="P28" s="1"/>
    </row>
    <row r="29" spans="15:16" x14ac:dyDescent="0.2">
      <c r="O29" s="7"/>
      <c r="P29" s="1"/>
    </row>
    <row r="30" spans="15:16" x14ac:dyDescent="0.2">
      <c r="O30" s="7"/>
      <c r="P30" s="1"/>
    </row>
    <row r="31" spans="15:16" x14ac:dyDescent="0.2">
      <c r="O31" s="7"/>
      <c r="P31" s="1"/>
    </row>
    <row r="32" spans="15:16" x14ac:dyDescent="0.2">
      <c r="O32" s="7"/>
      <c r="P32" s="1"/>
    </row>
    <row r="33" spans="15:16" x14ac:dyDescent="0.2">
      <c r="O33" s="7"/>
      <c r="P33" s="1"/>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92DFA-F02C-9545-9934-8ED5FA6EA481}">
  <dimension ref="A2:J20"/>
  <sheetViews>
    <sheetView showGridLines="0" workbookViewId="0"/>
  </sheetViews>
  <sheetFormatPr baseColWidth="10" defaultColWidth="17" defaultRowHeight="15" x14ac:dyDescent="0.2"/>
  <cols>
    <col min="1" max="1" width="12.6640625" bestFit="1" customWidth="1"/>
    <col min="2" max="2" width="15.1640625" bestFit="1" customWidth="1"/>
    <col min="3" max="3" width="13" bestFit="1" customWidth="1"/>
    <col min="4" max="4" width="18.1640625" bestFit="1" customWidth="1"/>
    <col min="5" max="5" width="18.5" bestFit="1" customWidth="1"/>
    <col min="6" max="6" width="14.6640625" bestFit="1" customWidth="1"/>
    <col min="7" max="7" width="18.6640625" bestFit="1" customWidth="1"/>
    <col min="10" max="10" width="40.33203125" bestFit="1" customWidth="1"/>
  </cols>
  <sheetData>
    <row r="2" spans="1:10" ht="16" thickBot="1" x14ac:dyDescent="0.25">
      <c r="A2" s="10" t="s">
        <v>0</v>
      </c>
      <c r="B2" s="10" t="s">
        <v>12</v>
      </c>
      <c r="C2" s="14" t="s">
        <v>11</v>
      </c>
      <c r="D2" s="10" t="s">
        <v>8</v>
      </c>
      <c r="E2" s="10" t="s">
        <v>9</v>
      </c>
      <c r="F2" s="10" t="s">
        <v>2</v>
      </c>
      <c r="G2" s="10" t="s">
        <v>47</v>
      </c>
    </row>
    <row r="3" spans="1:10" ht="16" thickTop="1" x14ac:dyDescent="0.2">
      <c r="A3" s="11" t="s">
        <v>1</v>
      </c>
      <c r="B3" s="11" t="s">
        <v>13</v>
      </c>
      <c r="C3" s="15">
        <v>1</v>
      </c>
      <c r="D3" s="18">
        <v>84898</v>
      </c>
      <c r="E3" s="21">
        <v>273</v>
      </c>
      <c r="F3" s="18">
        <v>3417734</v>
      </c>
      <c r="G3" s="24">
        <v>0.47899999999999998</v>
      </c>
    </row>
    <row r="4" spans="1:10" x14ac:dyDescent="0.2">
      <c r="A4" s="12" t="s">
        <v>10</v>
      </c>
      <c r="B4" s="12" t="s">
        <v>14</v>
      </c>
      <c r="C4" s="16">
        <v>2</v>
      </c>
      <c r="D4" s="19">
        <v>9350</v>
      </c>
      <c r="E4" s="22">
        <v>111</v>
      </c>
      <c r="F4" s="19">
        <v>1402054</v>
      </c>
      <c r="G4" s="25">
        <v>0.50600000000000001</v>
      </c>
    </row>
    <row r="5" spans="1:10" x14ac:dyDescent="0.2">
      <c r="A5" s="11" t="s">
        <v>15</v>
      </c>
      <c r="B5" s="11" t="s">
        <v>28</v>
      </c>
      <c r="C5" s="15">
        <v>3</v>
      </c>
      <c r="D5" s="18">
        <v>77347</v>
      </c>
      <c r="E5" s="21">
        <v>178</v>
      </c>
      <c r="F5" s="18">
        <v>1978379</v>
      </c>
      <c r="G5" s="24">
        <v>0.46200000000000002</v>
      </c>
    </row>
    <row r="6" spans="1:10" x14ac:dyDescent="0.2">
      <c r="A6" s="12" t="s">
        <v>16</v>
      </c>
      <c r="B6" s="12" t="s">
        <v>29</v>
      </c>
      <c r="C6" s="16">
        <v>4</v>
      </c>
      <c r="D6" s="19">
        <v>86943</v>
      </c>
      <c r="E6" s="22">
        <v>472</v>
      </c>
      <c r="F6" s="19">
        <v>5737915</v>
      </c>
      <c r="G6" s="25">
        <v>0.51</v>
      </c>
    </row>
    <row r="7" spans="1:10" x14ac:dyDescent="0.2">
      <c r="A7" s="11" t="s">
        <v>17</v>
      </c>
      <c r="B7" s="11" t="s">
        <v>30</v>
      </c>
      <c r="C7" s="15">
        <v>5</v>
      </c>
      <c r="D7" s="18">
        <v>83569</v>
      </c>
      <c r="E7" s="21">
        <v>119</v>
      </c>
      <c r="F7" s="18">
        <v>1964726</v>
      </c>
      <c r="G7" s="24">
        <v>0.42099999999999999</v>
      </c>
    </row>
    <row r="8" spans="1:10" x14ac:dyDescent="0.2">
      <c r="A8" s="12" t="s">
        <v>18</v>
      </c>
      <c r="B8" s="12" t="s">
        <v>31</v>
      </c>
      <c r="C8" s="16">
        <v>6</v>
      </c>
      <c r="D8" s="19">
        <v>56273</v>
      </c>
      <c r="E8" s="22">
        <v>249</v>
      </c>
      <c r="F8" s="19">
        <v>3207004</v>
      </c>
      <c r="G8" s="25">
        <v>0.443</v>
      </c>
    </row>
    <row r="9" spans="1:10" x14ac:dyDescent="0.2">
      <c r="A9" s="11" t="s">
        <v>19</v>
      </c>
      <c r="B9" s="11" t="s">
        <v>32</v>
      </c>
      <c r="C9" s="15">
        <v>7</v>
      </c>
      <c r="D9" s="18">
        <v>9615</v>
      </c>
      <c r="E9" s="21">
        <v>43</v>
      </c>
      <c r="F9" s="18">
        <v>647464</v>
      </c>
      <c r="G9" s="24">
        <v>0.53</v>
      </c>
    </row>
    <row r="10" spans="1:10" x14ac:dyDescent="0.2">
      <c r="A10" s="12" t="s">
        <v>20</v>
      </c>
      <c r="B10" s="12" t="s">
        <v>33</v>
      </c>
      <c r="C10" s="16">
        <v>8</v>
      </c>
      <c r="D10" s="19">
        <v>71301</v>
      </c>
      <c r="E10" s="22">
        <v>802</v>
      </c>
      <c r="F10" s="19">
        <v>7812880</v>
      </c>
      <c r="G10" s="25">
        <v>0.495</v>
      </c>
    </row>
    <row r="11" spans="1:10" x14ac:dyDescent="0.2">
      <c r="A11" s="11" t="s">
        <v>21</v>
      </c>
      <c r="B11" s="11" t="s">
        <v>34</v>
      </c>
      <c r="C11" s="15">
        <v>9</v>
      </c>
      <c r="D11" s="18">
        <v>71404</v>
      </c>
      <c r="E11" s="21">
        <v>1580</v>
      </c>
      <c r="F11" s="18">
        <v>22610726</v>
      </c>
      <c r="G11" s="24">
        <v>0.44500000000000001</v>
      </c>
    </row>
    <row r="12" spans="1:10" x14ac:dyDescent="0.2">
      <c r="A12" s="12" t="s">
        <v>22</v>
      </c>
      <c r="B12" s="12" t="s">
        <v>35</v>
      </c>
      <c r="C12" s="16">
        <v>10</v>
      </c>
      <c r="D12" s="19">
        <v>10554</v>
      </c>
      <c r="E12" s="22">
        <v>734</v>
      </c>
      <c r="F12" s="19">
        <v>7001399</v>
      </c>
      <c r="G12" s="25">
        <v>0.54</v>
      </c>
    </row>
    <row r="13" spans="1:10" x14ac:dyDescent="0.2">
      <c r="A13" s="11" t="s">
        <v>23</v>
      </c>
      <c r="B13" s="11" t="s">
        <v>39</v>
      </c>
      <c r="C13" s="15">
        <v>11</v>
      </c>
      <c r="D13" s="18">
        <v>77116</v>
      </c>
      <c r="E13" s="21">
        <v>72</v>
      </c>
      <c r="F13" s="18">
        <v>919318</v>
      </c>
      <c r="G13" s="24">
        <v>0.44800000000000001</v>
      </c>
      <c r="J13" s="37"/>
    </row>
    <row r="14" spans="1:10" x14ac:dyDescent="0.2">
      <c r="A14" s="12" t="s">
        <v>24</v>
      </c>
      <c r="B14" s="12" t="s">
        <v>40</v>
      </c>
      <c r="C14" s="16">
        <v>12</v>
      </c>
      <c r="D14" s="19">
        <v>97810</v>
      </c>
      <c r="E14" s="22">
        <v>50</v>
      </c>
      <c r="F14" s="19">
        <v>584057</v>
      </c>
      <c r="G14" s="25">
        <v>0.41599999999999998</v>
      </c>
    </row>
    <row r="15" spans="1:10" x14ac:dyDescent="0.2">
      <c r="A15" s="11" t="s">
        <v>25</v>
      </c>
      <c r="B15" s="11" t="s">
        <v>41</v>
      </c>
      <c r="C15" s="15">
        <v>13</v>
      </c>
      <c r="D15" s="18">
        <v>42775</v>
      </c>
      <c r="E15" s="21">
        <v>707</v>
      </c>
      <c r="F15" s="18">
        <v>8715698</v>
      </c>
      <c r="G15" s="24">
        <v>0.498</v>
      </c>
    </row>
    <row r="16" spans="1:10" x14ac:dyDescent="0.2">
      <c r="A16" s="12" t="s">
        <v>26</v>
      </c>
      <c r="B16" s="12" t="s">
        <v>42</v>
      </c>
      <c r="C16" s="16">
        <v>14</v>
      </c>
      <c r="D16" s="19">
        <v>8719</v>
      </c>
      <c r="E16" s="22">
        <v>799</v>
      </c>
      <c r="F16" s="19">
        <v>9290841</v>
      </c>
      <c r="G16" s="25">
        <v>0.502</v>
      </c>
    </row>
    <row r="17" spans="1:7" x14ac:dyDescent="0.2">
      <c r="A17" s="13" t="s">
        <v>27</v>
      </c>
      <c r="B17" s="13" t="s">
        <v>43</v>
      </c>
      <c r="C17" s="17">
        <v>15</v>
      </c>
      <c r="D17" s="20">
        <v>70699</v>
      </c>
      <c r="E17" s="23">
        <v>74</v>
      </c>
      <c r="F17" s="20">
        <v>783926</v>
      </c>
      <c r="G17" s="26">
        <v>0.46</v>
      </c>
    </row>
    <row r="19" spans="1:7" x14ac:dyDescent="0.2">
      <c r="A19" t="s">
        <v>62</v>
      </c>
    </row>
    <row r="20" spans="1:7" x14ac:dyDescent="0.2">
      <c r="A20" s="37" t="s">
        <v>63</v>
      </c>
    </row>
  </sheetData>
  <autoFilter ref="A2:G2" xr:uid="{C5992DFA-F02C-9545-9934-8ED5FA6EA481}"/>
  <hyperlinks>
    <hyperlink ref="A20" r:id="rId1" xr:uid="{77AAC1CC-B2D5-3F4D-A1CF-61E538F1807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F36B6-A0BF-1A4E-A215-BD227429550D}">
  <dimension ref="A2:F20"/>
  <sheetViews>
    <sheetView showGridLines="0" workbookViewId="0"/>
  </sheetViews>
  <sheetFormatPr baseColWidth="10" defaultColWidth="10.6640625" defaultRowHeight="15" x14ac:dyDescent="0.2"/>
  <cols>
    <col min="1" max="1" width="12.6640625" bestFit="1" customWidth="1"/>
    <col min="2" max="2" width="18" bestFit="1" customWidth="1"/>
    <col min="3" max="3" width="18.6640625" bestFit="1" customWidth="1"/>
    <col min="4" max="4" width="20.5" bestFit="1" customWidth="1"/>
    <col min="5" max="6" width="16" bestFit="1" customWidth="1"/>
  </cols>
  <sheetData>
    <row r="2" spans="1:6" ht="16" thickBot="1" x14ac:dyDescent="0.25">
      <c r="A2" s="10" t="s">
        <v>0</v>
      </c>
      <c r="B2" s="10" t="s">
        <v>3</v>
      </c>
      <c r="C2" s="10" t="s">
        <v>4</v>
      </c>
      <c r="D2" s="10" t="s">
        <v>37</v>
      </c>
      <c r="E2" s="10" t="s">
        <v>5</v>
      </c>
      <c r="F2" s="10" t="s">
        <v>6</v>
      </c>
    </row>
    <row r="3" spans="1:6" ht="16" thickTop="1" x14ac:dyDescent="0.2">
      <c r="A3" s="11" t="s">
        <v>1</v>
      </c>
      <c r="B3" s="27">
        <v>40959</v>
      </c>
      <c r="C3" s="24">
        <v>3.6999999999999998E-2</v>
      </c>
      <c r="D3" s="24">
        <v>6.0000000000000001E-3</v>
      </c>
      <c r="E3" s="28">
        <v>0.313</v>
      </c>
      <c r="F3" s="28">
        <v>8.2000000000000003E-2</v>
      </c>
    </row>
    <row r="4" spans="1:6" x14ac:dyDescent="0.2">
      <c r="A4" s="12" t="s">
        <v>10</v>
      </c>
      <c r="B4" s="29">
        <v>49617</v>
      </c>
      <c r="C4" s="25">
        <v>1.4999999999999999E-2</v>
      </c>
      <c r="D4" s="25">
        <v>7.0000000000000001E-3</v>
      </c>
      <c r="E4" s="30">
        <v>0.29799999999999999</v>
      </c>
      <c r="F4" s="30">
        <v>7.1999999999999995E-2</v>
      </c>
    </row>
    <row r="5" spans="1:6" x14ac:dyDescent="0.2">
      <c r="A5" s="11" t="s">
        <v>15</v>
      </c>
      <c r="B5" s="27">
        <v>41403</v>
      </c>
      <c r="C5" s="24">
        <v>0.01</v>
      </c>
      <c r="D5" s="24">
        <v>0</v>
      </c>
      <c r="E5" s="28">
        <v>0.35099999999999998</v>
      </c>
      <c r="F5" s="28">
        <v>0.112</v>
      </c>
    </row>
    <row r="6" spans="1:6" x14ac:dyDescent="0.2">
      <c r="A6" s="12" t="s">
        <v>16</v>
      </c>
      <c r="B6" s="29">
        <v>47393</v>
      </c>
      <c r="C6" s="25">
        <v>0.01</v>
      </c>
      <c r="D6" s="25">
        <v>-1E-3</v>
      </c>
      <c r="E6" s="30">
        <v>0.33900000000000002</v>
      </c>
      <c r="F6" s="30">
        <v>9.6000000000000002E-2</v>
      </c>
    </row>
    <row r="7" spans="1:6" x14ac:dyDescent="0.2">
      <c r="A7" s="11" t="s">
        <v>17</v>
      </c>
      <c r="B7" s="27">
        <v>37395</v>
      </c>
      <c r="C7" s="24">
        <v>3.1E-2</v>
      </c>
      <c r="D7" s="24">
        <v>1.7999999999999999E-2</v>
      </c>
      <c r="E7" s="28">
        <v>0.33200000000000002</v>
      </c>
      <c r="F7" s="28">
        <v>0.107</v>
      </c>
    </row>
    <row r="8" spans="1:6" x14ac:dyDescent="0.2">
      <c r="A8" s="12" t="s">
        <v>18</v>
      </c>
      <c r="B8" s="29">
        <v>41625</v>
      </c>
      <c r="C8" s="25">
        <v>1.6E-2</v>
      </c>
      <c r="D8" s="25">
        <v>1E-3</v>
      </c>
      <c r="E8" s="30">
        <v>0.373</v>
      </c>
      <c r="F8" s="30">
        <v>0.126</v>
      </c>
    </row>
    <row r="9" spans="1:6" x14ac:dyDescent="0.2">
      <c r="A9" s="11" t="s">
        <v>19</v>
      </c>
      <c r="B9" s="27">
        <v>42147</v>
      </c>
      <c r="C9" s="24">
        <v>2.3E-2</v>
      </c>
      <c r="D9" s="24">
        <v>5.0000000000000001E-3</v>
      </c>
      <c r="E9" s="28">
        <v>0.26400000000000001</v>
      </c>
      <c r="F9" s="28">
        <v>0.104</v>
      </c>
    </row>
    <row r="10" spans="1:6" x14ac:dyDescent="0.2">
      <c r="A10" s="12" t="s">
        <v>20</v>
      </c>
      <c r="B10" s="29">
        <v>51640</v>
      </c>
      <c r="C10" s="25">
        <v>2.7E-2</v>
      </c>
      <c r="D10" s="25">
        <v>2E-3</v>
      </c>
      <c r="E10" s="30">
        <v>0.317</v>
      </c>
      <c r="F10" s="30">
        <v>0.1</v>
      </c>
    </row>
    <row r="11" spans="1:6" x14ac:dyDescent="0.2">
      <c r="A11" s="11" t="s">
        <v>21</v>
      </c>
      <c r="B11" s="27">
        <v>39920</v>
      </c>
      <c r="C11" s="24">
        <v>4.8000000000000001E-2</v>
      </c>
      <c r="D11" s="24">
        <v>1.7000000000000001E-2</v>
      </c>
      <c r="E11" s="28">
        <v>0.315</v>
      </c>
      <c r="F11" s="28">
        <v>0.127</v>
      </c>
    </row>
    <row r="12" spans="1:6" x14ac:dyDescent="0.2">
      <c r="A12" s="12" t="s">
        <v>22</v>
      </c>
      <c r="B12" s="29">
        <v>52528</v>
      </c>
      <c r="C12" s="25">
        <v>2.1999999999999999E-2</v>
      </c>
      <c r="D12" s="25">
        <v>-1E-3</v>
      </c>
      <c r="E12" s="30">
        <v>0.26800000000000002</v>
      </c>
      <c r="F12" s="30">
        <v>0.104</v>
      </c>
    </row>
    <row r="13" spans="1:6" x14ac:dyDescent="0.2">
      <c r="A13" s="11" t="s">
        <v>23</v>
      </c>
      <c r="B13" s="27">
        <v>919318</v>
      </c>
      <c r="C13" s="24">
        <v>1.9E-2</v>
      </c>
      <c r="D13" s="24">
        <v>8.9999999999999993E-3</v>
      </c>
      <c r="E13" s="28">
        <v>0.37</v>
      </c>
      <c r="F13" s="28">
        <v>0.125</v>
      </c>
    </row>
    <row r="14" spans="1:6" x14ac:dyDescent="0.2">
      <c r="A14" s="12" t="s">
        <v>24</v>
      </c>
      <c r="B14" s="29">
        <v>39954</v>
      </c>
      <c r="C14" s="25">
        <v>1.2E-2</v>
      </c>
      <c r="D14" s="25">
        <v>4.0000000000000001E-3</v>
      </c>
      <c r="E14" s="30">
        <v>0.34399999999999997</v>
      </c>
      <c r="F14" s="30">
        <v>0.11799999999999999</v>
      </c>
    </row>
    <row r="15" spans="1:6" x14ac:dyDescent="0.2">
      <c r="A15" s="11" t="s">
        <v>25</v>
      </c>
      <c r="B15" s="27">
        <v>48178</v>
      </c>
      <c r="C15" s="24">
        <v>0.03</v>
      </c>
      <c r="D15" s="24">
        <v>2E-3</v>
      </c>
      <c r="E15" s="28">
        <v>0.34799999999999998</v>
      </c>
      <c r="F15" s="28">
        <v>0.106</v>
      </c>
    </row>
    <row r="16" spans="1:6" x14ac:dyDescent="0.2">
      <c r="A16" s="12" t="s">
        <v>26</v>
      </c>
      <c r="B16" s="29">
        <v>51884</v>
      </c>
      <c r="C16" s="25">
        <v>3.2000000000000001E-2</v>
      </c>
      <c r="D16" s="25">
        <v>-1E-3</v>
      </c>
      <c r="E16" s="30">
        <v>0.28799999999999998</v>
      </c>
      <c r="F16" s="30">
        <v>9.7000000000000003E-2</v>
      </c>
    </row>
    <row r="17" spans="1:6" x14ac:dyDescent="0.2">
      <c r="A17" s="13" t="s">
        <v>27</v>
      </c>
      <c r="B17" s="31">
        <v>42807</v>
      </c>
      <c r="C17" s="26">
        <v>1.7000000000000001E-2</v>
      </c>
      <c r="D17" s="26">
        <v>-1E-3</v>
      </c>
      <c r="E17" s="32">
        <v>0.35599999999999998</v>
      </c>
      <c r="F17" s="32">
        <v>0.115</v>
      </c>
    </row>
    <row r="19" spans="1:6" x14ac:dyDescent="0.2">
      <c r="A19" t="s">
        <v>62</v>
      </c>
    </row>
    <row r="20" spans="1:6" x14ac:dyDescent="0.2">
      <c r="A20" s="37" t="s">
        <v>63</v>
      </c>
    </row>
  </sheetData>
  <autoFilter ref="A2:F2" xr:uid="{28CF36B6-A0BF-1A4E-A215-BD227429550D}"/>
  <hyperlinks>
    <hyperlink ref="A20" r:id="rId1" xr:uid="{E4DEEE99-FFD4-9847-A68E-F7438B6E09F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49A1F-A443-A142-9BFF-612DB716FD45}">
  <dimension ref="A2:B20"/>
  <sheetViews>
    <sheetView showGridLines="0" workbookViewId="0">
      <selection activeCell="B13" sqref="B13"/>
    </sheetView>
  </sheetViews>
  <sheetFormatPr baseColWidth="10" defaultColWidth="10.6640625" defaultRowHeight="15" x14ac:dyDescent="0.2"/>
  <cols>
    <col min="1" max="1" width="12.6640625" bestFit="1" customWidth="1"/>
    <col min="2" max="2" width="18.5" customWidth="1"/>
  </cols>
  <sheetData>
    <row r="2" spans="1:2" ht="16" thickBot="1" x14ac:dyDescent="0.25">
      <c r="A2" s="10" t="s">
        <v>0</v>
      </c>
      <c r="B2" s="10" t="s">
        <v>7</v>
      </c>
    </row>
    <row r="3" spans="1:2" ht="16" thickTop="1" x14ac:dyDescent="0.2">
      <c r="A3" s="11" t="s">
        <v>1</v>
      </c>
      <c r="B3" s="33">
        <v>51.2</v>
      </c>
    </row>
    <row r="4" spans="1:2" x14ac:dyDescent="0.2">
      <c r="A4" s="12" t="s">
        <v>10</v>
      </c>
      <c r="B4" s="34">
        <v>38.9</v>
      </c>
    </row>
    <row r="5" spans="1:2" x14ac:dyDescent="0.2">
      <c r="A5" s="11" t="s">
        <v>15</v>
      </c>
      <c r="B5" s="33">
        <v>37</v>
      </c>
    </row>
    <row r="6" spans="1:2" x14ac:dyDescent="0.2">
      <c r="A6" s="12" t="s">
        <v>16</v>
      </c>
      <c r="B6" s="34">
        <v>38.299999999999997</v>
      </c>
    </row>
    <row r="7" spans="1:2" x14ac:dyDescent="0.2">
      <c r="A7" s="11" t="s">
        <v>17</v>
      </c>
      <c r="B7" s="33">
        <v>44.3</v>
      </c>
    </row>
    <row r="8" spans="1:2" x14ac:dyDescent="0.2">
      <c r="A8" s="12" t="s">
        <v>18</v>
      </c>
      <c r="B8" s="34">
        <v>37.6</v>
      </c>
    </row>
    <row r="9" spans="1:2" x14ac:dyDescent="0.2">
      <c r="A9" s="11" t="s">
        <v>19</v>
      </c>
      <c r="B9" s="33">
        <v>38.5</v>
      </c>
    </row>
    <row r="10" spans="1:2" x14ac:dyDescent="0.2">
      <c r="A10" s="12" t="s">
        <v>20</v>
      </c>
      <c r="B10" s="34" t="s">
        <v>36</v>
      </c>
    </row>
    <row r="11" spans="1:2" x14ac:dyDescent="0.2">
      <c r="A11" s="11" t="s">
        <v>21</v>
      </c>
      <c r="B11" s="33">
        <v>38.9</v>
      </c>
    </row>
    <row r="12" spans="1:2" x14ac:dyDescent="0.2">
      <c r="A12" s="12" t="s">
        <v>22</v>
      </c>
      <c r="B12" s="34">
        <v>41.4</v>
      </c>
    </row>
    <row r="13" spans="1:2" x14ac:dyDescent="0.2">
      <c r="A13" s="11" t="s">
        <v>23</v>
      </c>
      <c r="B13" s="33">
        <v>39.6</v>
      </c>
    </row>
    <row r="14" spans="1:2" x14ac:dyDescent="0.2">
      <c r="A14" s="12" t="s">
        <v>24</v>
      </c>
      <c r="B14" s="34" t="s">
        <v>38</v>
      </c>
    </row>
    <row r="15" spans="1:2" x14ac:dyDescent="0.2">
      <c r="A15" s="11" t="s">
        <v>25</v>
      </c>
      <c r="B15" s="33">
        <v>45</v>
      </c>
    </row>
    <row r="16" spans="1:2" x14ac:dyDescent="0.2">
      <c r="A16" s="12" t="s">
        <v>26</v>
      </c>
      <c r="B16" s="34">
        <v>44.1</v>
      </c>
    </row>
    <row r="17" spans="1:2" x14ac:dyDescent="0.2">
      <c r="A17" s="13" t="s">
        <v>27</v>
      </c>
      <c r="B17" s="35">
        <v>37</v>
      </c>
    </row>
    <row r="19" spans="1:2" x14ac:dyDescent="0.2">
      <c r="A19" t="s">
        <v>64</v>
      </c>
    </row>
    <row r="20" spans="1:2" x14ac:dyDescent="0.2">
      <c r="A20" s="37" t="s">
        <v>65</v>
      </c>
    </row>
  </sheetData>
  <autoFilter ref="A2:B2" xr:uid="{12D49A1F-A443-A142-9BFF-612DB716FD45}"/>
  <hyperlinks>
    <hyperlink ref="A20" r:id="rId1" xr:uid="{85FD39B2-FDC5-2040-9207-594C1D59E2DC}"/>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B94CB-E89B-FE44-95D3-32D54A21184A}">
  <dimension ref="A2:B20"/>
  <sheetViews>
    <sheetView showGridLines="0" workbookViewId="0"/>
  </sheetViews>
  <sheetFormatPr baseColWidth="10" defaultColWidth="10.6640625" defaultRowHeight="15" x14ac:dyDescent="0.2"/>
  <cols>
    <col min="1" max="1" width="12.6640625" bestFit="1" customWidth="1"/>
    <col min="2" max="2" width="14.83203125" bestFit="1" customWidth="1"/>
  </cols>
  <sheetData>
    <row r="2" spans="1:2" ht="16" thickBot="1" x14ac:dyDescent="0.25">
      <c r="A2" s="10" t="s">
        <v>0</v>
      </c>
      <c r="B2" s="36" t="s">
        <v>46</v>
      </c>
    </row>
    <row r="3" spans="1:2" ht="16" thickTop="1" x14ac:dyDescent="0.2">
      <c r="A3" s="11" t="s">
        <v>1</v>
      </c>
      <c r="B3" s="38">
        <v>5.1900000000000002E-2</v>
      </c>
    </row>
    <row r="4" spans="1:2" x14ac:dyDescent="0.2">
      <c r="A4" s="12" t="s">
        <v>10</v>
      </c>
      <c r="B4" s="39">
        <v>2.3439999999999999E-2</v>
      </c>
    </row>
    <row r="5" spans="1:2" x14ac:dyDescent="0.2">
      <c r="A5" s="11" t="s">
        <v>15</v>
      </c>
      <c r="B5" s="38">
        <v>4.1520000000000001E-2</v>
      </c>
    </row>
    <row r="6" spans="1:2" x14ac:dyDescent="0.2">
      <c r="A6" s="12" t="s">
        <v>16</v>
      </c>
      <c r="B6" s="39">
        <v>4.5269999999999998E-2</v>
      </c>
    </row>
    <row r="7" spans="1:2" x14ac:dyDescent="0.2">
      <c r="A7" s="11" t="s">
        <v>17</v>
      </c>
      <c r="B7" s="38">
        <v>2.4660000000000001E-2</v>
      </c>
    </row>
    <row r="8" spans="1:2" x14ac:dyDescent="0.2">
      <c r="A8" s="12" t="s">
        <v>18</v>
      </c>
      <c r="B8" s="39">
        <v>2.4660000000000001E-2</v>
      </c>
    </row>
    <row r="9" spans="1:2" x14ac:dyDescent="0.2">
      <c r="A9" s="11" t="s">
        <v>19</v>
      </c>
      <c r="B9" s="38">
        <v>2.6069999999999999E-2</v>
      </c>
    </row>
    <row r="10" spans="1:2" x14ac:dyDescent="0.2">
      <c r="A10" s="12" t="s">
        <v>20</v>
      </c>
      <c r="B10" s="39">
        <v>5.7590000000000002E-2</v>
      </c>
    </row>
    <row r="11" spans="1:2" x14ac:dyDescent="0.2">
      <c r="A11" s="11" t="s">
        <v>21</v>
      </c>
      <c r="B11" s="38">
        <v>3.9219999999999998E-2</v>
      </c>
    </row>
    <row r="12" spans="1:2" x14ac:dyDescent="0.2">
      <c r="A12" s="12" t="s">
        <v>22</v>
      </c>
      <c r="B12" s="39">
        <v>2.4150000000000001E-2</v>
      </c>
    </row>
    <row r="13" spans="1:2" x14ac:dyDescent="0.2">
      <c r="A13" s="11" t="s">
        <v>23</v>
      </c>
      <c r="B13" s="38">
        <v>4.4150000000000002E-2</v>
      </c>
    </row>
    <row r="14" spans="1:2" x14ac:dyDescent="0.2">
      <c r="A14" s="12" t="s">
        <v>24</v>
      </c>
      <c r="B14" s="39">
        <v>3.4549999999999997E-2</v>
      </c>
    </row>
    <row r="15" spans="1:2" x14ac:dyDescent="0.2">
      <c r="A15" s="11" t="s">
        <v>25</v>
      </c>
      <c r="B15" s="38">
        <v>3.1210000000000002E-2</v>
      </c>
    </row>
    <row r="16" spans="1:2" x14ac:dyDescent="0.2">
      <c r="A16" s="12" t="s">
        <v>26</v>
      </c>
      <c r="B16" s="39">
        <v>2.512E-2</v>
      </c>
    </row>
    <row r="17" spans="1:2" x14ac:dyDescent="0.2">
      <c r="A17" s="13" t="s">
        <v>27</v>
      </c>
      <c r="B17" s="40">
        <v>4.5769999999999998E-2</v>
      </c>
    </row>
    <row r="19" spans="1:2" x14ac:dyDescent="0.2">
      <c r="A19" t="s">
        <v>64</v>
      </c>
    </row>
    <row r="20" spans="1:2" x14ac:dyDescent="0.2">
      <c r="A20" s="37" t="s">
        <v>66</v>
      </c>
    </row>
  </sheetData>
  <autoFilter ref="A2:B3" xr:uid="{0AEB94CB-E89B-FE44-95D3-32D54A21184A}"/>
  <hyperlinks>
    <hyperlink ref="A20" r:id="rId1" xr:uid="{DF9C41DA-770C-DE49-B455-27A5F1C4F7B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C72A4-6761-F541-BCAA-4454F3F89AA0}">
  <dimension ref="A2:C20"/>
  <sheetViews>
    <sheetView showGridLines="0" workbookViewId="0"/>
  </sheetViews>
  <sheetFormatPr baseColWidth="10" defaultColWidth="10.6640625" defaultRowHeight="15" x14ac:dyDescent="0.2"/>
  <cols>
    <col min="1" max="1" width="12.6640625" bestFit="1" customWidth="1"/>
    <col min="2" max="2" width="28" bestFit="1" customWidth="1"/>
    <col min="3" max="3" width="32.5" bestFit="1" customWidth="1"/>
  </cols>
  <sheetData>
    <row r="2" spans="1:3" ht="16" thickBot="1" x14ac:dyDescent="0.25">
      <c r="A2" s="10" t="s">
        <v>0</v>
      </c>
      <c r="B2" s="10" t="s">
        <v>44</v>
      </c>
      <c r="C2" s="10" t="s">
        <v>45</v>
      </c>
    </row>
    <row r="3" spans="1:3" ht="16" thickTop="1" x14ac:dyDescent="0.2">
      <c r="A3" s="11" t="s">
        <v>1</v>
      </c>
      <c r="B3" s="33">
        <v>102.9</v>
      </c>
      <c r="C3" s="33">
        <v>314.10000000000002</v>
      </c>
    </row>
    <row r="4" spans="1:3" x14ac:dyDescent="0.2">
      <c r="A4" s="12" t="s">
        <v>10</v>
      </c>
      <c r="B4" s="34">
        <v>110.46</v>
      </c>
      <c r="C4" s="34">
        <v>317.89999999999998</v>
      </c>
    </row>
    <row r="5" spans="1:3" x14ac:dyDescent="0.2">
      <c r="A5" s="11" t="s">
        <v>15</v>
      </c>
      <c r="B5" s="33">
        <v>95.21</v>
      </c>
      <c r="C5" s="33">
        <v>270</v>
      </c>
    </row>
    <row r="6" spans="1:3" x14ac:dyDescent="0.2">
      <c r="A6" s="12" t="s">
        <v>16</v>
      </c>
      <c r="B6" s="34">
        <v>93.48</v>
      </c>
      <c r="C6" s="34">
        <v>304.2</v>
      </c>
    </row>
    <row r="7" spans="1:3" x14ac:dyDescent="0.2">
      <c r="A7" s="11" t="s">
        <v>17</v>
      </c>
      <c r="B7" s="33">
        <v>97.38</v>
      </c>
      <c r="C7" s="33">
        <v>230.1</v>
      </c>
    </row>
    <row r="8" spans="1:3" x14ac:dyDescent="0.2">
      <c r="A8" s="12" t="s">
        <v>18</v>
      </c>
      <c r="B8" s="34">
        <v>89.06</v>
      </c>
      <c r="C8" s="34">
        <v>193.9</v>
      </c>
    </row>
    <row r="9" spans="1:3" x14ac:dyDescent="0.2">
      <c r="A9" s="11" t="s">
        <v>19</v>
      </c>
      <c r="B9" s="33">
        <v>112.39</v>
      </c>
      <c r="C9" s="33">
        <v>408.2</v>
      </c>
    </row>
    <row r="10" spans="1:3" x14ac:dyDescent="0.2">
      <c r="A10" s="12" t="s">
        <v>20</v>
      </c>
      <c r="B10" s="34">
        <v>118.07</v>
      </c>
      <c r="C10" s="34">
        <v>451</v>
      </c>
    </row>
    <row r="11" spans="1:3" x14ac:dyDescent="0.2">
      <c r="A11" s="11" t="s">
        <v>21</v>
      </c>
      <c r="B11" s="33">
        <v>109.35</v>
      </c>
      <c r="C11" s="33">
        <v>322.3</v>
      </c>
    </row>
    <row r="12" spans="1:3" x14ac:dyDescent="0.2">
      <c r="A12" s="12" t="s">
        <v>22</v>
      </c>
      <c r="B12" s="34">
        <v>126.13</v>
      </c>
      <c r="C12" s="34">
        <v>401.2</v>
      </c>
    </row>
    <row r="13" spans="1:3" x14ac:dyDescent="0.2">
      <c r="A13" s="11" t="s">
        <v>23</v>
      </c>
      <c r="B13" s="33">
        <v>93.14</v>
      </c>
      <c r="C13" s="33">
        <v>191.7</v>
      </c>
    </row>
    <row r="14" spans="1:3" x14ac:dyDescent="0.2">
      <c r="A14" s="12" t="s">
        <v>24</v>
      </c>
      <c r="B14" s="34">
        <v>92.44</v>
      </c>
      <c r="C14" s="34">
        <v>203.2</v>
      </c>
    </row>
    <row r="15" spans="1:3" x14ac:dyDescent="0.2">
      <c r="A15" s="11" t="s">
        <v>25</v>
      </c>
      <c r="B15" s="33">
        <v>102.85</v>
      </c>
      <c r="C15" s="33">
        <v>505.6</v>
      </c>
    </row>
    <row r="16" spans="1:3" x14ac:dyDescent="0.2">
      <c r="A16" s="12" t="s">
        <v>26</v>
      </c>
      <c r="B16" s="34">
        <v>111.04</v>
      </c>
      <c r="C16" s="34">
        <v>427.8</v>
      </c>
    </row>
    <row r="17" spans="1:3" x14ac:dyDescent="0.2">
      <c r="A17" s="13" t="s">
        <v>27</v>
      </c>
      <c r="B17" s="35">
        <v>92.49</v>
      </c>
      <c r="C17" s="35">
        <v>244.3</v>
      </c>
    </row>
    <row r="19" spans="1:3" x14ac:dyDescent="0.2">
      <c r="A19" t="s">
        <v>67</v>
      </c>
    </row>
    <row r="20" spans="1:3" x14ac:dyDescent="0.2">
      <c r="A20" s="37" t="s">
        <v>68</v>
      </c>
    </row>
  </sheetData>
  <autoFilter ref="A2:C2" xr:uid="{113C72A4-6761-F541-BCAA-4454F3F89AA0}"/>
  <hyperlinks>
    <hyperlink ref="A20" r:id="rId1" xr:uid="{4E8A77D8-B986-1A45-AAEC-A902EC82469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Dashboard</vt:lpstr>
      <vt:lpstr>Information</vt:lpstr>
      <vt:lpstr>Analyse</vt:lpstr>
      <vt:lpstr>Consolidated Data Set</vt:lpstr>
      <vt:lpstr>Data Set 1</vt:lpstr>
      <vt:lpstr>Data Set 2</vt:lpstr>
      <vt:lpstr>Data Set 3</vt:lpstr>
      <vt:lpstr>Data Set 4</vt:lpstr>
      <vt:lpstr>Data Set 5</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vineet saddi</dc:creator>
  <cp:lastModifiedBy>Rohith Reddy Kolanu</cp:lastModifiedBy>
  <dcterms:created xsi:type="dcterms:W3CDTF">2024-11-30T17:16:47Z</dcterms:created>
  <dcterms:modified xsi:type="dcterms:W3CDTF">2026-01-03T21:12:31Z</dcterms:modified>
</cp:coreProperties>
</file>